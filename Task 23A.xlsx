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1.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Charles\OneDrive\Documents\Vephla\"/>
    </mc:Choice>
  </mc:AlternateContent>
  <xr:revisionPtr revIDLastSave="0" documentId="13_ncr:1_{356C25DA-7F67-4021-A447-688FDF1ECD58}" xr6:coauthVersionLast="47" xr6:coauthVersionMax="47" xr10:uidLastSave="{00000000-0000-0000-0000-000000000000}"/>
  <bookViews>
    <workbookView xWindow="-110" yWindow="-110" windowWidth="19420" windowHeight="10300" firstSheet="7" activeTab="9" xr2:uid="{00000000-000D-0000-FFFF-FFFF00000000}"/>
  </bookViews>
  <sheets>
    <sheet name="Best students" sheetId="4" r:id="rId1"/>
    <sheet name="Least students" sheetId="5" r:id="rId2"/>
    <sheet name="Average Study hours" sheetId="6" r:id="rId3"/>
    <sheet name="Attendance percent on exam grad" sheetId="7" r:id="rId4"/>
    <sheet name="Attendance percent on previous" sheetId="9" r:id="rId5"/>
    <sheet name="Average Sleep hours" sheetId="8" state="hidden" r:id="rId6"/>
    <sheet name="Student performance by exam" sheetId="10" r:id="rId7"/>
    <sheet name="Pre-analysis" sheetId="2" r:id="rId8"/>
    <sheet name=" In-analysis" sheetId="14" r:id="rId9"/>
    <sheet name="Dashboard" sheetId="15" r:id="rId10"/>
    <sheet name="Observation" sheetId="16" r:id="rId11"/>
    <sheet name="Recommendation" sheetId="17" r:id="rId12"/>
    <sheet name="student_exam_scores" sheetId="1" r:id="rId13"/>
  </sheets>
  <definedNames>
    <definedName name="Slicer_Attendance_percent">#N/A</definedName>
    <definedName name="Slicer_Exam_grade">#N/A</definedName>
    <definedName name="Slicer_Hours_studied">#N/A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a="1"/>
  <c r="G2" i="1" s="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c r="E42" i="1" a="1"/>
  <c r="E42" i="1" s="1"/>
  <c r="E43" i="1" a="1"/>
  <c r="E43" i="1" s="1"/>
  <c r="E44" i="1" a="1"/>
  <c r="E44" i="1" s="1"/>
  <c r="E45" i="1" a="1"/>
  <c r="E45" i="1" s="1"/>
  <c r="E46" i="1" a="1"/>
  <c r="E46" i="1" s="1"/>
  <c r="E47" i="1" a="1"/>
  <c r="E47" i="1" s="1"/>
  <c r="E48" i="1" a="1"/>
  <c r="E48" i="1" s="1"/>
  <c r="E49" i="1" a="1"/>
  <c r="E49" i="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E119" i="1" a="1"/>
  <c r="E119" i="1" s="1"/>
  <c r="E120" i="1" a="1"/>
  <c r="E120" i="1" s="1"/>
  <c r="E121" i="1" a="1"/>
  <c r="E121" i="1" s="1"/>
  <c r="E122" i="1" a="1"/>
  <c r="E122" i="1" s="1"/>
  <c r="E123" i="1" a="1"/>
  <c r="E123" i="1" s="1"/>
  <c r="E124" i="1" a="1"/>
  <c r="E124" i="1" s="1"/>
  <c r="E125" i="1" a="1"/>
  <c r="E125" i="1" s="1"/>
  <c r="E126" i="1" a="1"/>
  <c r="E126" i="1" s="1"/>
  <c r="E127" i="1" a="1"/>
  <c r="E127" i="1" s="1"/>
  <c r="E128" i="1" a="1"/>
  <c r="E128" i="1" s="1"/>
  <c r="E129" i="1" a="1"/>
  <c r="E129" i="1" s="1"/>
  <c r="E130" i="1" a="1"/>
  <c r="E130" i="1" s="1"/>
  <c r="E131" i="1" a="1"/>
  <c r="E131" i="1" s="1"/>
  <c r="E132" i="1" a="1"/>
  <c r="E132" i="1" s="1"/>
  <c r="E133" i="1" a="1"/>
  <c r="E133" i="1" s="1"/>
  <c r="E134" i="1" a="1"/>
  <c r="E134" i="1" s="1"/>
  <c r="E135" i="1" a="1"/>
  <c r="E135" i="1" s="1"/>
  <c r="E136" i="1" a="1"/>
  <c r="E136" i="1" s="1"/>
  <c r="E137" i="1" a="1"/>
  <c r="E137" i="1" s="1"/>
  <c r="E138" i="1" a="1"/>
  <c r="E138" i="1" s="1"/>
  <c r="E139" i="1" a="1"/>
  <c r="E139" i="1" s="1"/>
  <c r="E140" i="1" a="1"/>
  <c r="E140" i="1" s="1"/>
  <c r="E141" i="1" a="1"/>
  <c r="E141" i="1" s="1"/>
  <c r="E142" i="1" a="1"/>
  <c r="E142" i="1" s="1"/>
  <c r="E143" i="1" a="1"/>
  <c r="E143" i="1" s="1"/>
  <c r="E144" i="1" a="1"/>
  <c r="E144" i="1" s="1"/>
  <c r="E145" i="1" a="1"/>
  <c r="E145" i="1" s="1"/>
  <c r="E146" i="1" a="1"/>
  <c r="E146" i="1" s="1"/>
  <c r="E147" i="1" a="1"/>
  <c r="E147" i="1" s="1"/>
  <c r="E148" i="1" a="1"/>
  <c r="E148" i="1" s="1"/>
  <c r="E149" i="1" a="1"/>
  <c r="E149" i="1" s="1"/>
  <c r="E150" i="1" a="1"/>
  <c r="E150" i="1" s="1"/>
  <c r="E151" i="1" a="1"/>
  <c r="E151" i="1" s="1"/>
  <c r="E152" i="1" a="1"/>
  <c r="E152" i="1" s="1"/>
  <c r="E153" i="1" a="1"/>
  <c r="E153" i="1" s="1"/>
  <c r="E154" i="1" a="1"/>
  <c r="E154" i="1" s="1"/>
  <c r="E155" i="1" a="1"/>
  <c r="E155" i="1" s="1"/>
  <c r="E156" i="1" a="1"/>
  <c r="E156" i="1" s="1"/>
  <c r="E157" i="1" a="1"/>
  <c r="E157" i="1" s="1"/>
  <c r="E158" i="1" a="1"/>
  <c r="E158" i="1" s="1"/>
  <c r="E159" i="1" a="1"/>
  <c r="E159" i="1" s="1"/>
  <c r="E160" i="1" a="1"/>
  <c r="E160" i="1" s="1"/>
  <c r="E161" i="1" a="1"/>
  <c r="E161" i="1" s="1"/>
  <c r="E162" i="1" a="1"/>
  <c r="E162" i="1" s="1"/>
  <c r="E163" i="1" a="1"/>
  <c r="E163" i="1" s="1"/>
  <c r="E164" i="1" a="1"/>
  <c r="E164" i="1" s="1"/>
  <c r="E165" i="1" a="1"/>
  <c r="E165" i="1" s="1"/>
  <c r="E166" i="1" a="1"/>
  <c r="E166" i="1" s="1"/>
  <c r="E167" i="1" a="1"/>
  <c r="E167" i="1" s="1"/>
  <c r="E168" i="1" a="1"/>
  <c r="E168" i="1" s="1"/>
  <c r="E169" i="1" a="1"/>
  <c r="E169" i="1" s="1"/>
  <c r="E170" i="1" a="1"/>
  <c r="E170" i="1" s="1"/>
  <c r="E171" i="1" a="1"/>
  <c r="E171" i="1" s="1"/>
  <c r="E172" i="1" a="1"/>
  <c r="E172" i="1" s="1"/>
  <c r="E173" i="1" a="1"/>
  <c r="E173" i="1" s="1"/>
  <c r="E174" i="1" a="1"/>
  <c r="E174" i="1" s="1"/>
  <c r="E175" i="1" a="1"/>
  <c r="E175" i="1" s="1"/>
  <c r="E176" i="1" a="1"/>
  <c r="E176" i="1" s="1"/>
  <c r="E177" i="1" a="1"/>
  <c r="E177" i="1" s="1"/>
  <c r="E178" i="1" a="1"/>
  <c r="E178" i="1" s="1"/>
  <c r="E179" i="1" a="1"/>
  <c r="E179" i="1" s="1"/>
  <c r="E180" i="1" a="1"/>
  <c r="E180" i="1" s="1"/>
  <c r="E181" i="1" a="1"/>
  <c r="E181" i="1" s="1"/>
  <c r="E182" i="1" a="1"/>
  <c r="E182" i="1" s="1"/>
  <c r="E183" i="1" a="1"/>
  <c r="E183" i="1" s="1"/>
  <c r="E184" i="1" a="1"/>
  <c r="E184" i="1" s="1"/>
  <c r="E185" i="1" a="1"/>
  <c r="E185" i="1" s="1"/>
  <c r="E186" i="1" a="1"/>
  <c r="E186" i="1" s="1"/>
  <c r="E187" i="1" a="1"/>
  <c r="E187" i="1" s="1"/>
  <c r="E188" i="1" a="1"/>
  <c r="E188" i="1" s="1"/>
  <c r="E189" i="1" a="1"/>
  <c r="E189" i="1" s="1"/>
  <c r="E190" i="1" a="1"/>
  <c r="E190" i="1" s="1"/>
  <c r="E191" i="1" a="1"/>
  <c r="E191" i="1" s="1"/>
  <c r="E192" i="1" a="1"/>
  <c r="E192" i="1" s="1"/>
  <c r="E193" i="1" a="1"/>
  <c r="E193" i="1" s="1"/>
  <c r="E194" i="1" a="1"/>
  <c r="E194" i="1" s="1"/>
  <c r="E195" i="1" a="1"/>
  <c r="E195" i="1" s="1"/>
  <c r="E196" i="1" a="1"/>
  <c r="E196" i="1" s="1"/>
  <c r="E197" i="1" a="1"/>
  <c r="E197" i="1" s="1"/>
  <c r="E198" i="1" a="1"/>
  <c r="E198" i="1" s="1"/>
  <c r="E199" i="1" a="1"/>
  <c r="E199" i="1" s="1"/>
  <c r="E200" i="1" a="1"/>
  <c r="E200" i="1" s="1"/>
  <c r="E201" i="1" a="1"/>
  <c r="E201"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<sst xmlns="http://schemas.openxmlformats.org/spreadsheetml/2006/main" count="281" uniqueCount="228">
  <si>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</si>
  <si>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</si>
  <si>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</si>
  <si>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</si>
  <si>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</si>
  <si>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</si>
  <si>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</si>
  <si>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</si>
  <si>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</si>
  <si>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</si>
  <si>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</si>
  <si>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</si>
  <si>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</si>
  <si>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</si>
  <si>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</si>
  <si>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</si>
  <si>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</si>
  <si>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</si>
  <si>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</si>
  <si>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</si>
  <si>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</si>
  <si>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</si>
  <si>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</si>
  <si>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</si>
  <si>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</si>
  <si>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</si>
  <si>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</si>
  <si>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</si>
  <si>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</si>
  <si>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</si>
  <si>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</si>
  <si>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</si>
  <si>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</si>
  <si>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</si>
  <si>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</si>
  <si>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</si>
  <si>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</si>
  <si>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</si>
  <si>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</si>
  <si>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</si>
  <si>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</si>
  <si>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</si>
  <si>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</si>
  <si>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</si>
  <si>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</si>
  <si>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</si>
  <si>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</si>
  <si>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</si>
  <si>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</si>
  <si>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</si>
  <si>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</si>
  <si>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</si>
  <si>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</si>
  <si>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</si>
  <si>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</si>
  <si>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</si>
  <si>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</si>
  <si>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</si>
  <si>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</si>
  <si>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</si>
  <si>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</si>
  <si>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</si>
  <si>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</si>
  <si>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</si>
  <si>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</si>
  <si>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</si>
  <si>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</si>
  <si>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</si>
  <si>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</si>
  <si>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</si>
  <si>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</si>
  <si>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</si>
  <si>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</si>
  <si>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</si>
  <si>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</si>
  <si>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</si>
  <si>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</si>
  <si>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</si>
  <si>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</si>
  <si>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</si>
  <si>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</si>
  <si>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</si>
  <si>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</si>
  <si>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</si>
  <si>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</si>
  <si>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</si>
  <si>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</si>
  <si>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</si>
  <si>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</si>
  <si>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</si>
  <si>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</si>
  <si>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</si>
  <si>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</si>
  <si>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</si>
  <si>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</si>
  <si>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</si>
  <si>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</si>
  <si>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</si>
  <si>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</si>
  <si>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</si>
  <si>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</si>
  <si>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</si>
  <si>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</si>
  <si>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</si>
  <si>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</si>
  <si>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</si>
  <si>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</si>
  <si>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</si>
  <si>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</si>
  <si>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</si>
  <si>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</si>
  <si>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</si>
  <si>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</si>
  <si>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</si>
  <si>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</si>
  <si>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</si>
  <si>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</si>
  <si>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</si>
  <si>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</si>
  <si>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</si>
  <si>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</si>
  <si>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</si>
  <si>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</si>
  <si>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</si>
  <si>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</si>
  <si>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</si>
  <si>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</si>
  <si>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</si>
  <si>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</si>
  <si>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</si>
  <si>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</si>
  <si>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</si>
  <si>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</si>
  <si>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</si>
  <si>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</si>
  <si>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</si>
  <si>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</si>
  <si>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</si>
  <si>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</si>
  <si>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</si>
  <si>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</si>
  <si>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</si>
  <si>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</si>
  <si>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</si>
  <si>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</si>
  <si>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</si>
  <si>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</si>
  <si>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</si>
  <si>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</si>
  <si>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</si>
  <si>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</si>
  <si>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</si>
  <si>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</si>
  <si>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</si>
  <si>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</si>
  <si>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</si>
  <si>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</si>
  <si>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</si>
  <si>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</si>
  <si>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</si>
  <si>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</si>
  <si>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</si>
  <si>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</si>
  <si>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</si>
  <si>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</si>
  <si>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</si>
  <si>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</si>
  <si>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</si>
  <si>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</si>
  <si>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</si>
  <si>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</si>
  <si>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</si>
  <si>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</si>
  <si>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</si>
  <si>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</si>
  <si>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</si>
  <si>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</si>
  <si>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</si>
  <si>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</si>
  <si>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</si>
  <si>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</si>
  <si>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</si>
  <si>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</si>
  <si>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</si>
  <si>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</si>
  <si>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</si>
  <si>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</si>
  <si>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</si>
  <si>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</si>
  <si>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</si>
  <si>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</si>
  <si>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</si>
  <si>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</si>
  <si>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</si>
  <si>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</si>
  <si>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</si>
  <si>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</si>
  <si>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</si>
  <si>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</si>
  <si>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</si>
  <si>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Student id</t>
  </si>
  <si>
    <t>Hours studied</t>
  </si>
  <si>
    <t>Sleep hours</t>
  </si>
  <si>
    <t>Attendance percent</t>
  </si>
  <si>
    <t>Previous scores</t>
  </si>
  <si>
    <t>Exam score</t>
  </si>
  <si>
    <t>Row Labels</t>
  </si>
  <si>
    <t>Grand Total</t>
  </si>
  <si>
    <t>Sum of Exam score</t>
  </si>
  <si>
    <t>Average of Hours studied</t>
  </si>
  <si>
    <t>50-60</t>
  </si>
  <si>
    <t>60-70</t>
  </si>
  <si>
    <t>70-80</t>
  </si>
  <si>
    <t>80-90</t>
  </si>
  <si>
    <t>90-100</t>
  </si>
  <si>
    <t>Exam grade</t>
  </si>
  <si>
    <t>Count of Exam grade</t>
  </si>
  <si>
    <t>Column Labels</t>
  </si>
  <si>
    <t>A</t>
  </si>
  <si>
    <t>B</t>
  </si>
  <si>
    <t>C</t>
  </si>
  <si>
    <t>D</t>
  </si>
  <si>
    <t>E</t>
  </si>
  <si>
    <t>F</t>
  </si>
  <si>
    <t>Count of Sleep hours</t>
  </si>
  <si>
    <t>Previous scores grade</t>
  </si>
  <si>
    <t>Count of Previous scores grade</t>
  </si>
  <si>
    <t>Count of Student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</si>
</sst>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7" fillId="33" borderId="0" xfId="0" applyFont="1" applyFill="1"/>
    <xf numFmtId="0" fontId="0" fillId="0" borderId="0" xfId="0" pivotButton="1"/>
    <xf numFmtId="0" fontId="0" fillId="0" borderId="0" xfId="0" applyAlignment="1">
      <alignment horizontal="left"/>
    </xf>
    <xf numFmtId="0" fontId="0" fillId="0" borderId="0" xfId="0" applyNumberFormat="1"/>
    <xf numFmtId="0" fontId="0" fillId="34" borderId="0" xfId="0"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font>
        <b val="0"/>
        <i val="0"/>
        <strike val="0"/>
        <condense val="0"/>
        <extend val="0"/>
        <outline val="0"/>
        <shadow val="0"/>
        <u val="none"/>
        <vertAlign val="baseline"/>
        <sz val="11"/>
        <color theme="0"/>
        <name val="Calibri"/>
        <family val="2"/>
        <scheme val="minor"/>
      </font>
      <fill>
        <patternFill patternType="solid">
          <fgColor indexed="64"/>
          <bgColor theme="9" tint="-0.499984740745262"/>
        </patternFill>
      </fill>
    </dxf>
    <dxf>
      <font>
        <b/>
        <color theme="1"/>
      </font>
      <border>
        <bottom style="thin">
          <color theme="4"/>
        </bottom>
        <vertical/>
        <horizontal/>
      </border>
    </dxf>
    <dxf>
      <font>
        <color theme="1"/>
      </font>
      <fill>
        <patternFill>
          <bgColor theme="9" tint="-0.499984740745262"/>
        </patternFill>
      </fill>
      <border diagonalUp="0" diagonalDown="0">
        <left/>
        <right/>
        <top/>
        <bottom/>
        <vertical/>
        <horizontal/>
      </border>
    </dxf>
    <dxf>
      <font>
        <b/>
        <color theme="1"/>
      </font>
      <border diagonalUp="0" diagonalDown="0">
        <left/>
        <right/>
        <top/>
        <bottom/>
        <vertical/>
        <horizontal/>
      </border>
    </dxf>
    <dxf>
      <font>
        <color theme="1"/>
      </font>
      <fill>
        <patternFill>
          <bgColor theme="0"/>
        </patternFill>
      </fill>
      <border diagonalUp="0" diagonalDown="0">
        <left/>
        <right/>
        <top/>
        <bottom/>
        <vertical/>
        <horizontal/>
      </border>
    </dxf>
  </dxfs>
  <tableStyles count="2" defaultTableStyle="TableStyleMedium2" defaultPivotStyle="PivotStyleLight16">
    <tableStyle name="Exam_score" pivot="0" table="0" count="10" xr9:uid="{00000000-0011-0000-FFFF-FFFF00000000}">
      <tableStyleElement type="wholeTable" dxfId="6"/>
      <tableStyleElement type="headerRow" dxfId="5"/>
    </tableStyle>
    <tableStyle name="Exam_score 2" pivot="0" table="0" count="10" xr9:uid="{00000000-0011-0000-FFFF-FFFF01000000}">
      <tableStyleElement type="wholeTable" dxfId="4"/>
      <tableStyleElement type="headerRow" dxfId="3"/>
    </tableStyle>
  </tableStyles>
  <colors>
    <mruColors>
      <color rgb="FF38572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name val="Georgia"/>
            <family val="1"/>
            <scheme val="none"/>
          </font>
          <fill>
            <patternFill patternType="solid">
              <fgColor theme="4"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rgb="FF000000"/>
            <name val="Georgia"/>
            <family val="1"/>
            <scheme val="none"/>
          </font>
          <fill>
            <patternFill patternType="solid">
              <fgColor theme="4" tint="0.59999389629810485"/>
              <bgColor theme="9"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Exam_scor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Exam_scor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23A.xlsx]Best students!PivotTable1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Students With Best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75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s>
    <c:plotArea>
      <c:layout/>
      <c:barChart>
        <c:barDir val="col"/>
        <c:grouping val="clustered"/>
        <c:varyColors val="0"/>
        <c:ser>
          <c:idx val="0"/>
          <c:order val="0"/>
          <c:tx>
            <c:strRef>
              <c:f>'Best students'!$B$3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2-361B-4990-87C9-BC1263DFAC8F}"/>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361B-4990-87C9-BC1263DFAC8F}"/>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361B-4990-87C9-BC1263DFAC8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361B-4990-87C9-BC1263DFAC8F}"/>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361B-4990-87C9-BC1263DFAC8F}"/>
              </c:ext>
            </c:extLst>
          </c:dPt>
          <c:dPt>
            <c:idx val="5"/>
            <c:invertIfNegative val="0"/>
            <c:bubble3D val="0"/>
            <c:extLst>
              <c:ext xmlns:c16="http://schemas.microsoft.com/office/drawing/2014/chart" uri="{C3380CC4-5D6E-409C-BE32-E72D297353CC}">
                <c16:uniqueId val="{00000007-361B-4990-87C9-BC1263DFAC8F}"/>
              </c:ext>
            </c:extLst>
          </c:dPt>
          <c:dPt>
            <c:idx val="6"/>
            <c:invertIfNegative val="0"/>
            <c:bubble3D val="0"/>
            <c:extLst>
              <c:ext xmlns:c16="http://schemas.microsoft.com/office/drawing/2014/chart" uri="{C3380CC4-5D6E-409C-BE32-E72D297353CC}">
                <c16:uniqueId val="{00000008-361B-4990-87C9-BC1263DFAC8F}"/>
              </c:ext>
            </c:extLst>
          </c:dPt>
          <c:dPt>
            <c:idx val="7"/>
            <c:invertIfNegative val="0"/>
            <c:bubble3D val="0"/>
            <c:extLst>
              <c:ext xmlns:c16="http://schemas.microsoft.com/office/drawing/2014/chart" uri="{C3380CC4-5D6E-409C-BE32-E72D297353CC}">
                <c16:uniqueId val="{00000009-361B-4990-87C9-BC1263DFAC8F}"/>
              </c:ext>
            </c:extLst>
          </c:dPt>
          <c:dPt>
            <c:idx val="8"/>
            <c:invertIfNegative val="0"/>
            <c:bubble3D val="0"/>
            <c:extLst>
              <c:ext xmlns:c16="http://schemas.microsoft.com/office/drawing/2014/chart" uri="{C3380CC4-5D6E-409C-BE32-E72D297353CC}">
                <c16:uniqueId val="{0000000A-361B-4990-87C9-BC1263DFAC8F}"/>
              </c:ext>
            </c:extLst>
          </c:dPt>
          <c:dPt>
            <c:idx val="9"/>
            <c:invertIfNegative val="0"/>
            <c:bubble3D val="0"/>
            <c:extLst>
              <c:ext xmlns:c16="http://schemas.microsoft.com/office/drawing/2014/chart" uri="{C3380CC4-5D6E-409C-BE32-E72D297353CC}">
                <c16:uniqueId val="{0000000B-361B-4990-87C9-BC1263DFAC8F}"/>
              </c:ext>
            </c:extLst>
          </c:dPt>
          <c:cat>
            <c:strRef>
              <c:f>'Best students'!$A$4:$A$9</c:f>
              <c:strCache>
                <c:ptCount val="5"/>
                <c:pt idx="0">
                  <c:v>S087</c:v>
                </c:pt>
                <c:pt idx="1">
                  <c:v>S084</c:v>
                </c:pt>
                <c:pt idx="2">
                  <c:v>S061</c:v>
                </c:pt>
                <c:pt idx="3">
                  <c:v>S121</c:v>
                </c:pt>
                <c:pt idx="4">
                  <c:v>S072</c:v>
                </c:pt>
              </c:strCache>
            </c:strRef>
          </c:cat>
          <c:val>
            <c:numRef>
              <c:f>'Best students'!$B$4:$B$9</c:f>
              <c:numCache>
                <c:formatCode>General</c:formatCode>
                <c:ptCount val="5"/>
                <c:pt idx="0">
                  <c:v>51.3</c:v>
                </c:pt>
                <c:pt idx="1">
                  <c:v>48.9</c:v>
                </c:pt>
                <c:pt idx="2">
                  <c:v>48.6</c:v>
                </c:pt>
                <c:pt idx="3">
                  <c:v>47.9</c:v>
                </c:pt>
                <c:pt idx="4">
                  <c:v>47.9</c:v>
                </c:pt>
              </c:numCache>
            </c:numRef>
          </c:val>
          <c:extLst>
            <c:ext xmlns:c16="http://schemas.microsoft.com/office/drawing/2014/chart" uri="{C3380CC4-5D6E-409C-BE32-E72D297353CC}">
              <c16:uniqueId val="{00000000-361B-4990-87C9-BC1263DFAC8F}"/>
            </c:ext>
          </c:extLst>
        </c:ser>
        <c:dLbls>
          <c:showLegendKey val="0"/>
          <c:showVal val="0"/>
          <c:showCatName val="0"/>
          <c:showSerName val="0"/>
          <c:showPercent val="0"/>
          <c:showBubbleSize val="0"/>
        </c:dLbls>
        <c:gapWidth val="20"/>
        <c:overlap val="-27"/>
        <c:axId val="1841940544"/>
        <c:axId val="1841937632"/>
      </c:barChart>
      <c:catAx>
        <c:axId val="18419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23A.xlsx]Least students!PivotTable1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Students With Least Performance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50000"/>
            </a:schemeClr>
          </a:solidFill>
          <a:ln>
            <a:noFill/>
          </a:ln>
          <a:effectLst/>
        </c:spPr>
      </c:pivotFmt>
      <c:pivotFmt>
        <c:idx val="28"/>
        <c:spPr>
          <a:solidFill>
            <a:schemeClr val="accent6">
              <a:lumMod val="50000"/>
            </a:schemeClr>
          </a:solidFill>
          <a:ln>
            <a:noFill/>
          </a:ln>
          <a:effectLst/>
        </c:spPr>
      </c:pivotFmt>
      <c:pivotFmt>
        <c:idx val="29"/>
        <c:spPr>
          <a:solidFill>
            <a:schemeClr val="accent6">
              <a:lumMod val="75000"/>
            </a:schemeClr>
          </a:solidFill>
          <a:ln>
            <a:noFill/>
          </a:ln>
          <a:effectLst/>
        </c:spPr>
      </c:pivotFmt>
      <c:pivotFmt>
        <c:idx val="30"/>
        <c:spPr>
          <a:solidFill>
            <a:schemeClr val="accent6">
              <a:lumMod val="75000"/>
            </a:schemeClr>
          </a:solidFill>
          <a:ln>
            <a:noFill/>
          </a:ln>
          <a:effectLst/>
        </c:spPr>
      </c:pivotFmt>
      <c:pivotFmt>
        <c:idx val="31"/>
        <c:spPr>
          <a:solidFill>
            <a:schemeClr val="accent6">
              <a:lumMod val="60000"/>
              <a:lumOff val="40000"/>
            </a:schemeClr>
          </a:solidFill>
          <a:ln>
            <a:noFill/>
          </a:ln>
          <a:effectLst/>
        </c:spPr>
      </c:pivotFmt>
    </c:pivotFmts>
    <c:plotArea>
      <c:layout/>
      <c:barChart>
        <c:barDir val="col"/>
        <c:grouping val="clustered"/>
        <c:varyColors val="0"/>
        <c:ser>
          <c:idx val="0"/>
          <c:order val="0"/>
          <c:tx>
            <c:strRef>
              <c:f>'Least students'!$B$3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19CC-4409-AE49-1D5E608A0D9B}"/>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19CC-4409-AE49-1D5E608A0D9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19CC-4409-AE49-1D5E608A0D9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19CC-4409-AE49-1D5E608A0D9B}"/>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19CC-4409-AE49-1D5E608A0D9B}"/>
              </c:ext>
            </c:extLst>
          </c:dPt>
          <c:dPt>
            <c:idx val="5"/>
            <c:invertIfNegative val="0"/>
            <c:bubble3D val="0"/>
            <c:extLst>
              <c:ext xmlns:c16="http://schemas.microsoft.com/office/drawing/2014/chart" uri="{C3380CC4-5D6E-409C-BE32-E72D297353CC}">
                <c16:uniqueId val="{0000000B-19CC-4409-AE49-1D5E608A0D9B}"/>
              </c:ext>
            </c:extLst>
          </c:dPt>
          <c:dPt>
            <c:idx val="6"/>
            <c:invertIfNegative val="0"/>
            <c:bubble3D val="0"/>
            <c:extLst>
              <c:ext xmlns:c16="http://schemas.microsoft.com/office/drawing/2014/chart" uri="{C3380CC4-5D6E-409C-BE32-E72D297353CC}">
                <c16:uniqueId val="{0000000D-19CC-4409-AE49-1D5E608A0D9B}"/>
              </c:ext>
            </c:extLst>
          </c:dPt>
          <c:dPt>
            <c:idx val="7"/>
            <c:invertIfNegative val="0"/>
            <c:bubble3D val="0"/>
            <c:extLst>
              <c:ext xmlns:c16="http://schemas.microsoft.com/office/drawing/2014/chart" uri="{C3380CC4-5D6E-409C-BE32-E72D297353CC}">
                <c16:uniqueId val="{0000000F-19CC-4409-AE49-1D5E608A0D9B}"/>
              </c:ext>
            </c:extLst>
          </c:dPt>
          <c:dPt>
            <c:idx val="8"/>
            <c:invertIfNegative val="0"/>
            <c:bubble3D val="0"/>
            <c:extLst>
              <c:ext xmlns:c16="http://schemas.microsoft.com/office/drawing/2014/chart" uri="{C3380CC4-5D6E-409C-BE32-E72D297353CC}">
                <c16:uniqueId val="{00000011-19CC-4409-AE49-1D5E608A0D9B}"/>
              </c:ext>
            </c:extLst>
          </c:dPt>
          <c:dPt>
            <c:idx val="9"/>
            <c:invertIfNegative val="0"/>
            <c:bubble3D val="0"/>
            <c:extLst>
              <c:ext xmlns:c16="http://schemas.microsoft.com/office/drawing/2014/chart" uri="{C3380CC4-5D6E-409C-BE32-E72D297353CC}">
                <c16:uniqueId val="{00000013-19CC-4409-AE49-1D5E608A0D9B}"/>
              </c:ext>
            </c:extLst>
          </c:dPt>
          <c:cat>
            <c:strRef>
              <c:f>'Least students'!$A$4:$A$9</c:f>
              <c:strCache>
                <c:ptCount val="5"/>
                <c:pt idx="0">
                  <c:v>S071</c:v>
                </c:pt>
                <c:pt idx="1">
                  <c:v>S184</c:v>
                </c:pt>
                <c:pt idx="2">
                  <c:v>S143</c:v>
                </c:pt>
                <c:pt idx="3">
                  <c:v>S008</c:v>
                </c:pt>
                <c:pt idx="4">
                  <c:v>S020</c:v>
                </c:pt>
              </c:strCache>
            </c:strRef>
          </c:cat>
          <c:val>
            <c:numRef>
              <c:f>'Least students'!$B$4:$B$9</c:f>
              <c:numCache>
                <c:formatCode>General</c:formatCode>
                <c:ptCount val="5"/>
                <c:pt idx="0">
                  <c:v>20.8</c:v>
                </c:pt>
                <c:pt idx="1">
                  <c:v>19.399999999999999</c:v>
                </c:pt>
                <c:pt idx="2">
                  <c:v>19</c:v>
                </c:pt>
                <c:pt idx="3">
                  <c:v>18.3</c:v>
                </c:pt>
                <c:pt idx="4">
                  <c:v>17.100000000000001</c:v>
                </c:pt>
              </c:numCache>
            </c:numRef>
          </c:val>
          <c:extLst>
            <c:ext xmlns:c16="http://schemas.microsoft.com/office/drawing/2014/chart" uri="{C3380CC4-5D6E-409C-BE32-E72D297353CC}">
              <c16:uniqueId val="{00000014-19CC-4409-AE49-1D5E608A0D9B}"/>
            </c:ext>
          </c:extLst>
        </c:ser>
        <c:dLbls>
          <c:showLegendKey val="0"/>
          <c:showVal val="0"/>
          <c:showCatName val="0"/>
          <c:showSerName val="0"/>
          <c:showPercent val="0"/>
          <c:showBubbleSize val="0"/>
        </c:dLbls>
        <c:gapWidth val="20"/>
        <c:overlap val="-27"/>
        <c:axId val="1841940544"/>
        <c:axId val="1841937632"/>
      </c:barChart>
      <c:catAx>
        <c:axId val="18419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23A.xlsx]Average Study hours!PivotTable1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Average</a:t>
            </a:r>
            <a:r>
              <a:rPr lang="en-US" sz="1100" baseline="0">
                <a:latin typeface="Georgia" panose="02040502050405020303" pitchFamily="18" charset="0"/>
              </a:rPr>
              <a:t> Study Hours</a:t>
            </a:r>
            <a:endParaRPr lang="en-US" sz="1100">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Study hours'!$B$3</c:f>
              <c:strCache>
                <c:ptCount val="1"/>
                <c:pt idx="0">
                  <c:v>Total</c:v>
                </c:pt>
              </c:strCache>
            </c:strRef>
          </c:tx>
          <c:spPr>
            <a:ln w="28575" cap="rnd">
              <a:solidFill>
                <a:schemeClr val="accent6">
                  <a:lumMod val="50000"/>
                </a:schemeClr>
              </a:solidFill>
              <a:round/>
            </a:ln>
            <a:effectLst/>
          </c:spPr>
          <c:marker>
            <c:symbol val="none"/>
          </c:marker>
          <c:cat>
            <c:strRef>
              <c:f>'Average Study hours'!$A$4:$A$14</c:f>
              <c:strCache>
                <c:ptCount val="10"/>
                <c:pt idx="0">
                  <c:v>S087</c:v>
                </c:pt>
                <c:pt idx="1">
                  <c:v>S199</c:v>
                </c:pt>
                <c:pt idx="2">
                  <c:v>S097</c:v>
                </c:pt>
                <c:pt idx="3">
                  <c:v>S151</c:v>
                </c:pt>
                <c:pt idx="4">
                  <c:v>S061</c:v>
                </c:pt>
                <c:pt idx="5">
                  <c:v>S183</c:v>
                </c:pt>
                <c:pt idx="6">
                  <c:v>S034</c:v>
                </c:pt>
                <c:pt idx="7">
                  <c:v>S099</c:v>
                </c:pt>
                <c:pt idx="8">
                  <c:v>S025</c:v>
                </c:pt>
                <c:pt idx="9">
                  <c:v>S110</c:v>
                </c:pt>
              </c:strCache>
            </c:strRef>
          </c:cat>
          <c:val>
            <c:numRef>
              <c:f>'Average Study hours'!$B$4:$B$14</c:f>
              <c:numCache>
                <c:formatCode>General</c:formatCode>
                <c:ptCount val="10"/>
                <c:pt idx="0">
                  <c:v>12</c:v>
                </c:pt>
                <c:pt idx="1">
                  <c:v>12</c:v>
                </c:pt>
                <c:pt idx="2">
                  <c:v>12</c:v>
                </c:pt>
                <c:pt idx="3">
                  <c:v>11.9</c:v>
                </c:pt>
                <c:pt idx="4">
                  <c:v>11.9</c:v>
                </c:pt>
                <c:pt idx="5">
                  <c:v>11.8</c:v>
                </c:pt>
                <c:pt idx="6">
                  <c:v>11.7</c:v>
                </c:pt>
                <c:pt idx="7">
                  <c:v>11.7</c:v>
                </c:pt>
                <c:pt idx="8">
                  <c:v>11.5</c:v>
                </c:pt>
                <c:pt idx="9">
                  <c:v>11.5</c:v>
                </c:pt>
              </c:numCache>
            </c:numRef>
          </c:val>
          <c:smooth val="0"/>
          <c:extLst>
            <c:ext xmlns:c16="http://schemas.microsoft.com/office/drawing/2014/chart" uri="{C3380CC4-5D6E-409C-BE32-E72D297353CC}">
              <c16:uniqueId val="{00000016-888C-4CBE-8052-643AFE8D1AC2}"/>
            </c:ext>
          </c:extLst>
        </c:ser>
        <c:dLbls>
          <c:showLegendKey val="0"/>
          <c:showVal val="0"/>
          <c:showCatName val="0"/>
          <c:showSerName val="0"/>
          <c:showPercent val="0"/>
          <c:showBubbleSize val="0"/>
        </c:dLbls>
        <c:smooth val="0"/>
        <c:axId val="1841940544"/>
        <c:axId val="1841937632"/>
      </c:lineChart>
      <c:catAx>
        <c:axId val="184194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23A.xlsx]Attendance percent on exam grad!PivotTable1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Effect of Attendance Percent on Exam Grade</a:t>
            </a:r>
          </a:p>
        </c:rich>
      </c:tx>
      <c:layout>
        <c:manualLayout>
          <c:xMode val="edge"/>
          <c:yMode val="edge"/>
          <c:x val="0.12850577734544449"/>
          <c:y val="3.17880794701986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 percent on exam grad'!$B$3:$B$4</c:f>
              <c:strCache>
                <c:ptCount val="1"/>
                <c:pt idx="0">
                  <c:v>A</c:v>
                </c:pt>
              </c:strCache>
            </c:strRef>
          </c:tx>
          <c:spPr>
            <a:solidFill>
              <a:schemeClr val="accent6">
                <a:lumMod val="5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grad'!$B$5:$B$10</c:f>
              <c:numCache>
                <c:formatCode>General</c:formatCode>
                <c:ptCount val="5"/>
                <c:pt idx="2">
                  <c:v>1</c:v>
                </c:pt>
              </c:numCache>
            </c:numRef>
          </c:val>
          <c:extLst>
            <c:ext xmlns:c16="http://schemas.microsoft.com/office/drawing/2014/chart" uri="{C3380CC4-5D6E-409C-BE32-E72D297353CC}">
              <c16:uniqueId val="{00000003-9496-4DEC-ACA5-1E468029C58E}"/>
            </c:ext>
          </c:extLst>
        </c:ser>
        <c:ser>
          <c:idx val="1"/>
          <c:order val="1"/>
          <c:tx>
            <c:strRef>
              <c:f>'Attendance percent on exam grad'!$C$3:$C$4</c:f>
              <c:strCache>
                <c:ptCount val="1"/>
                <c:pt idx="0">
                  <c:v>B</c:v>
                </c:pt>
              </c:strCache>
            </c:strRef>
          </c:tx>
          <c:spPr>
            <a:solidFill>
              <a:schemeClr val="accent6">
                <a:lumMod val="75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grad'!$C$5:$C$10</c:f>
              <c:numCache>
                <c:formatCode>General</c:formatCode>
                <c:ptCount val="5"/>
                <c:pt idx="0">
                  <c:v>1</c:v>
                </c:pt>
                <c:pt idx="1">
                  <c:v>1</c:v>
                </c:pt>
                <c:pt idx="2">
                  <c:v>3</c:v>
                </c:pt>
                <c:pt idx="3">
                  <c:v>3</c:v>
                </c:pt>
                <c:pt idx="4">
                  <c:v>3</c:v>
                </c:pt>
              </c:numCache>
            </c:numRef>
          </c:val>
          <c:extLst>
            <c:ext xmlns:c16="http://schemas.microsoft.com/office/drawing/2014/chart" uri="{C3380CC4-5D6E-409C-BE32-E72D297353CC}">
              <c16:uniqueId val="{00000004-9496-4DEC-ACA5-1E468029C58E}"/>
            </c:ext>
          </c:extLst>
        </c:ser>
        <c:ser>
          <c:idx val="2"/>
          <c:order val="2"/>
          <c:tx>
            <c:strRef>
              <c:f>'Attendance percent on exam grad'!$D$3:$D$4</c:f>
              <c:strCache>
                <c:ptCount val="1"/>
                <c:pt idx="0">
                  <c:v>C</c:v>
                </c:pt>
              </c:strCache>
            </c:strRef>
          </c:tx>
          <c:spPr>
            <a:solidFill>
              <a:schemeClr val="accent6">
                <a:lumMod val="60000"/>
                <a:lumOff val="4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grad'!$D$5:$D$10</c:f>
              <c:numCache>
                <c:formatCode>General</c:formatCode>
                <c:ptCount val="5"/>
                <c:pt idx="0">
                  <c:v>1</c:v>
                </c:pt>
                <c:pt idx="1">
                  <c:v>7</c:v>
                </c:pt>
                <c:pt idx="2">
                  <c:v>2</c:v>
                </c:pt>
                <c:pt idx="3">
                  <c:v>8</c:v>
                </c:pt>
                <c:pt idx="4">
                  <c:v>8</c:v>
                </c:pt>
              </c:numCache>
            </c:numRef>
          </c:val>
          <c:extLst>
            <c:ext xmlns:c16="http://schemas.microsoft.com/office/drawing/2014/chart" uri="{C3380CC4-5D6E-409C-BE32-E72D297353CC}">
              <c16:uniqueId val="{00000005-9496-4DEC-ACA5-1E468029C58E}"/>
            </c:ext>
          </c:extLst>
        </c:ser>
        <c:ser>
          <c:idx val="3"/>
          <c:order val="3"/>
          <c:tx>
            <c:strRef>
              <c:f>'Attendance percent on exam grad'!$E$3:$E$4</c:f>
              <c:strCache>
                <c:ptCount val="1"/>
                <c:pt idx="0">
                  <c:v>D</c:v>
                </c:pt>
              </c:strCache>
            </c:strRef>
          </c:tx>
          <c:spPr>
            <a:solidFill>
              <a:schemeClr val="accent6">
                <a:lumMod val="40000"/>
                <a:lumOff val="6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grad'!$E$5:$E$10</c:f>
              <c:numCache>
                <c:formatCode>General</c:formatCode>
                <c:ptCount val="5"/>
                <c:pt idx="0">
                  <c:v>20</c:v>
                </c:pt>
                <c:pt idx="1">
                  <c:v>15</c:v>
                </c:pt>
                <c:pt idx="2">
                  <c:v>24</c:v>
                </c:pt>
                <c:pt idx="3">
                  <c:v>31</c:v>
                </c:pt>
                <c:pt idx="4">
                  <c:v>14</c:v>
                </c:pt>
              </c:numCache>
            </c:numRef>
          </c:val>
          <c:extLst>
            <c:ext xmlns:c16="http://schemas.microsoft.com/office/drawing/2014/chart" uri="{C3380CC4-5D6E-409C-BE32-E72D297353CC}">
              <c16:uniqueId val="{00000006-9496-4DEC-ACA5-1E468029C58E}"/>
            </c:ext>
          </c:extLst>
        </c:ser>
        <c:ser>
          <c:idx val="4"/>
          <c:order val="4"/>
          <c:tx>
            <c:strRef>
              <c:f>'Attendance percent on exam grad'!$F$3:$F$4</c:f>
              <c:strCache>
                <c:ptCount val="1"/>
                <c:pt idx="0">
                  <c:v>E</c:v>
                </c:pt>
              </c:strCache>
            </c:strRef>
          </c:tx>
          <c:spPr>
            <a:solidFill>
              <a:schemeClr val="accent6">
                <a:lumMod val="20000"/>
                <a:lumOff val="8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grad'!$F$5:$F$10</c:f>
              <c:numCache>
                <c:formatCode>General</c:formatCode>
                <c:ptCount val="5"/>
                <c:pt idx="0">
                  <c:v>12</c:v>
                </c:pt>
                <c:pt idx="1">
                  <c:v>18</c:v>
                </c:pt>
                <c:pt idx="2">
                  <c:v>5</c:v>
                </c:pt>
                <c:pt idx="3">
                  <c:v>9</c:v>
                </c:pt>
                <c:pt idx="4">
                  <c:v>10</c:v>
                </c:pt>
              </c:numCache>
            </c:numRef>
          </c:val>
          <c:extLst>
            <c:ext xmlns:c16="http://schemas.microsoft.com/office/drawing/2014/chart" uri="{C3380CC4-5D6E-409C-BE32-E72D297353CC}">
              <c16:uniqueId val="{00000011-9496-4DEC-ACA5-1E468029C58E}"/>
            </c:ext>
          </c:extLst>
        </c:ser>
        <c:ser>
          <c:idx val="5"/>
          <c:order val="5"/>
          <c:tx>
            <c:strRef>
              <c:f>'Attendance percent on exam grad'!$G$3:$G$4</c:f>
              <c:strCache>
                <c:ptCount val="1"/>
                <c:pt idx="0">
                  <c:v>F</c:v>
                </c:pt>
              </c:strCache>
            </c:strRef>
          </c:tx>
          <c:spPr>
            <a:solidFill>
              <a:schemeClr val="accent6">
                <a:lumMod val="20000"/>
                <a:lumOff val="8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grad'!$G$5:$G$10</c:f>
              <c:numCache>
                <c:formatCode>General</c:formatCode>
                <c:ptCount val="5"/>
                <c:pt idx="0">
                  <c:v>3</c:v>
                </c:pt>
                <c:pt idx="2">
                  <c:v>1</c:v>
                </c:pt>
              </c:numCache>
            </c:numRef>
          </c:val>
          <c:extLst>
            <c:ext xmlns:c16="http://schemas.microsoft.com/office/drawing/2014/chart" uri="{C3380CC4-5D6E-409C-BE32-E72D297353CC}">
              <c16:uniqueId val="{00000012-9496-4DEC-ACA5-1E468029C58E}"/>
            </c:ext>
          </c:extLst>
        </c:ser>
        <c:dLbls>
          <c:showLegendKey val="0"/>
          <c:showVal val="0"/>
          <c:showCatName val="0"/>
          <c:showSerName val="0"/>
          <c:showPercent val="0"/>
          <c:showBubbleSize val="0"/>
        </c:dLbls>
        <c:gapWidth val="20"/>
        <c:axId val="1841940544"/>
        <c:axId val="1841937632"/>
      </c:barChart>
      <c:catAx>
        <c:axId val="184194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23A.xlsx]Attendance percent on previous!PivotTable1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Effect of Attendance Percent on Previous Score Grade</a:t>
            </a:r>
          </a:p>
        </c:rich>
      </c:tx>
      <c:layout>
        <c:manualLayout>
          <c:xMode val="edge"/>
          <c:yMode val="edge"/>
          <c:x val="0.14699586280528493"/>
          <c:y val="3.1788091867417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'Attendance percent on previous'!$B$3:$B$4</c:f>
              <c:strCache>
                <c:ptCount val="1"/>
                <c:pt idx="0">
                  <c:v>A</c:v>
                </c:pt>
              </c:strCache>
            </c:strRef>
          </c:tx>
          <c:spPr>
            <a:solidFill>
              <a:schemeClr val="accent6">
                <a:lumMod val="5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previous'!$B$5:$B$10</c:f>
              <c:numCache>
                <c:formatCode>General</c:formatCode>
                <c:ptCount val="5"/>
                <c:pt idx="0">
                  <c:v>6</c:v>
                </c:pt>
                <c:pt idx="1">
                  <c:v>7</c:v>
                </c:pt>
                <c:pt idx="2">
                  <c:v>10</c:v>
                </c:pt>
                <c:pt idx="3">
                  <c:v>15</c:v>
                </c:pt>
                <c:pt idx="4">
                  <c:v>10</c:v>
                </c:pt>
              </c:numCache>
            </c:numRef>
          </c:val>
          <c:extLst>
            <c:ext xmlns:c16="http://schemas.microsoft.com/office/drawing/2014/chart" uri="{C3380CC4-5D6E-409C-BE32-E72D297353CC}">
              <c16:uniqueId val="{00000008-1221-451A-82AD-983C0CEE0FD9}"/>
            </c:ext>
          </c:extLst>
        </c:ser>
        <c:ser>
          <c:idx val="1"/>
          <c:order val="1"/>
          <c:tx>
            <c:strRef>
              <c:f>'Attendance percent on previous'!$C$3:$C$4</c:f>
              <c:strCache>
                <c:ptCount val="1"/>
                <c:pt idx="0">
                  <c:v>B</c:v>
                </c:pt>
              </c:strCache>
            </c:strRef>
          </c:tx>
          <c:spPr>
            <a:solidFill>
              <a:schemeClr val="accent6">
                <a:lumMod val="75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previous'!$C$5:$C$10</c:f>
              <c:numCache>
                <c:formatCode>General</c:formatCode>
                <c:ptCount val="5"/>
                <c:pt idx="0">
                  <c:v>15</c:v>
                </c:pt>
                <c:pt idx="1">
                  <c:v>16</c:v>
                </c:pt>
                <c:pt idx="2">
                  <c:v>12</c:v>
                </c:pt>
                <c:pt idx="3">
                  <c:v>16</c:v>
                </c:pt>
                <c:pt idx="4">
                  <c:v>9</c:v>
                </c:pt>
              </c:numCache>
            </c:numRef>
          </c:val>
          <c:extLst>
            <c:ext xmlns:c16="http://schemas.microsoft.com/office/drawing/2014/chart" uri="{C3380CC4-5D6E-409C-BE32-E72D297353CC}">
              <c16:uniqueId val="{00000009-1221-451A-82AD-983C0CEE0FD9}"/>
            </c:ext>
          </c:extLst>
        </c:ser>
        <c:ser>
          <c:idx val="2"/>
          <c:order val="2"/>
          <c:tx>
            <c:strRef>
              <c:f>'Attendance percent on previous'!$D$3:$D$4</c:f>
              <c:strCache>
                <c:ptCount val="1"/>
                <c:pt idx="0">
                  <c:v>C</c:v>
                </c:pt>
              </c:strCache>
            </c:strRef>
          </c:tx>
          <c:spPr>
            <a:solidFill>
              <a:schemeClr val="accent6">
                <a:lumMod val="60000"/>
                <a:lumOff val="4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previous'!$D$5:$D$10</c:f>
              <c:numCache>
                <c:formatCode>General</c:formatCode>
                <c:ptCount val="5"/>
                <c:pt idx="0">
                  <c:v>9</c:v>
                </c:pt>
                <c:pt idx="1">
                  <c:v>7</c:v>
                </c:pt>
                <c:pt idx="2">
                  <c:v>11</c:v>
                </c:pt>
                <c:pt idx="3">
                  <c:v>15</c:v>
                </c:pt>
                <c:pt idx="4">
                  <c:v>8</c:v>
                </c:pt>
              </c:numCache>
            </c:numRef>
          </c:val>
          <c:extLst>
            <c:ext xmlns:c16="http://schemas.microsoft.com/office/drawing/2014/chart" uri="{C3380CC4-5D6E-409C-BE32-E72D297353CC}">
              <c16:uniqueId val="{0000000A-1221-451A-82AD-983C0CEE0FD9}"/>
            </c:ext>
          </c:extLst>
        </c:ser>
        <c:ser>
          <c:idx val="3"/>
          <c:order val="3"/>
          <c:tx>
            <c:strRef>
              <c:f>'Attendance percent on previous'!$E$3:$E$4</c:f>
              <c:strCache>
                <c:ptCount val="1"/>
                <c:pt idx="0">
                  <c:v>D</c:v>
                </c:pt>
              </c:strCache>
            </c:strRef>
          </c:tx>
          <c:spPr>
            <a:solidFill>
              <a:schemeClr val="accent6">
                <a:lumMod val="40000"/>
                <a:lumOff val="6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previous'!$E$5:$E$10</c:f>
              <c:numCache>
                <c:formatCode>General</c:formatCode>
                <c:ptCount val="5"/>
                <c:pt idx="0">
                  <c:v>1</c:v>
                </c:pt>
                <c:pt idx="1">
                  <c:v>8</c:v>
                </c:pt>
                <c:pt idx="3">
                  <c:v>1</c:v>
                </c:pt>
                <c:pt idx="4">
                  <c:v>4</c:v>
                </c:pt>
              </c:numCache>
            </c:numRef>
          </c:val>
          <c:extLst>
            <c:ext xmlns:c16="http://schemas.microsoft.com/office/drawing/2014/chart" uri="{C3380CC4-5D6E-409C-BE32-E72D297353CC}">
              <c16:uniqueId val="{0000000B-1221-451A-82AD-983C0CEE0FD9}"/>
            </c:ext>
          </c:extLst>
        </c:ser>
        <c:ser>
          <c:idx val="4"/>
          <c:order val="4"/>
          <c:tx>
            <c:strRef>
              <c:f>'Attendance percent on previous'!$F$3:$F$4</c:f>
              <c:strCache>
                <c:ptCount val="1"/>
                <c:pt idx="0">
                  <c:v>E</c:v>
                </c:pt>
              </c:strCache>
            </c:strRef>
          </c:tx>
          <c:spPr>
            <a:solidFill>
              <a:schemeClr val="accent6">
                <a:lumMod val="20000"/>
                <a:lumOff val="8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previous'!$F$5:$F$10</c:f>
              <c:numCache>
                <c:formatCode>General</c:formatCode>
                <c:ptCount val="5"/>
                <c:pt idx="0">
                  <c:v>6</c:v>
                </c:pt>
                <c:pt idx="1">
                  <c:v>3</c:v>
                </c:pt>
                <c:pt idx="2">
                  <c:v>2</c:v>
                </c:pt>
                <c:pt idx="3">
                  <c:v>3</c:v>
                </c:pt>
                <c:pt idx="4">
                  <c:v>3</c:v>
                </c:pt>
              </c:numCache>
            </c:numRef>
          </c:val>
          <c:extLst>
            <c:ext xmlns:c16="http://schemas.microsoft.com/office/drawing/2014/chart" uri="{C3380CC4-5D6E-409C-BE32-E72D297353CC}">
              <c16:uniqueId val="{0000000C-1221-451A-82AD-983C0CEE0FD9}"/>
            </c:ext>
          </c:extLst>
        </c:ser>
        <c:ser>
          <c:idx val="5"/>
          <c:order val="5"/>
          <c:tx>
            <c:strRef>
              <c:f>'Attendance percent on previous'!$G$3:$G$4</c:f>
              <c:strCache>
                <c:ptCount val="1"/>
                <c:pt idx="0">
                  <c:v>F</c:v>
                </c:pt>
              </c:strCache>
            </c:strRef>
          </c:tx>
          <c:spPr>
            <a:solidFill>
              <a:schemeClr val="accent6">
                <a:lumMod val="20000"/>
                <a:lumOff val="8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previous'!$G$5:$G$10</c:f>
              <c:numCache>
                <c:formatCode>General</c:formatCode>
                <c:ptCount val="5"/>
                <c:pt idx="2">
                  <c:v>1</c:v>
                </c:pt>
                <c:pt idx="3">
                  <c:v>1</c:v>
                </c:pt>
                <c:pt idx="4">
                  <c:v>1</c:v>
                </c:pt>
              </c:numCache>
            </c:numRef>
          </c:val>
          <c:extLst>
            <c:ext xmlns:c16="http://schemas.microsoft.com/office/drawing/2014/chart" uri="{C3380CC4-5D6E-409C-BE32-E72D297353CC}">
              <c16:uniqueId val="{0000001F-1221-451A-82AD-983C0CEE0FD9}"/>
            </c:ext>
          </c:extLst>
        </c:ser>
        <c:dLbls>
          <c:showLegendKey val="0"/>
          <c:showVal val="0"/>
          <c:showCatName val="0"/>
          <c:showSerName val="0"/>
          <c:showPercent val="0"/>
          <c:showBubbleSize val="0"/>
        </c:dLbls>
        <c:gapWidth val="20"/>
        <c:axId val="1841940544"/>
        <c:axId val="1841937632"/>
      </c:barChart>
      <c:catAx>
        <c:axId val="184194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23A.xlsx]Average Sleep hours!PivotTable1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Average</a:t>
            </a:r>
            <a:r>
              <a:rPr lang="en-US" sz="1100" baseline="0">
                <a:latin typeface="Georgia" panose="02040502050405020303" pitchFamily="18" charset="0"/>
              </a:rPr>
              <a:t> Sleep Hours</a:t>
            </a:r>
            <a:endParaRPr lang="en-US" sz="1100">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5"/>
        <c:spPr>
          <a:ln w="28575" cap="rnd">
            <a:solidFill>
              <a:srgbClr val="385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Sleep hours'!$B$3</c:f>
              <c:strCache>
                <c:ptCount val="1"/>
                <c:pt idx="0">
                  <c:v>Total</c:v>
                </c:pt>
              </c:strCache>
            </c:strRef>
          </c:tx>
          <c:spPr>
            <a:ln w="28575" cap="rnd">
              <a:solidFill>
                <a:srgbClr val="385723"/>
              </a:solidFill>
              <a:round/>
            </a:ln>
            <a:effectLst/>
          </c:spPr>
          <c:marker>
            <c:symbol val="none"/>
          </c:marker>
          <c:cat>
            <c:strRef>
              <c:f>'Average Sleep hours'!$A$4:$A$54</c:f>
              <c:strCache>
                <c:ptCount val="50"/>
                <c:pt idx="0">
                  <c:v>4</c:v>
                </c:pt>
                <c:pt idx="1">
                  <c:v>4.1</c:v>
                </c:pt>
                <c:pt idx="2">
                  <c:v>4.3</c:v>
                </c:pt>
                <c:pt idx="3">
                  <c:v>4.4</c:v>
                </c:pt>
                <c:pt idx="4">
                  <c:v>4.5</c:v>
                </c:pt>
                <c:pt idx="5">
                  <c:v>4.6</c:v>
                </c:pt>
                <c:pt idx="6">
                  <c:v>4.7</c:v>
                </c:pt>
                <c:pt idx="7">
                  <c:v>4.8</c:v>
                </c:pt>
                <c:pt idx="8">
                  <c:v>4.9</c:v>
                </c:pt>
                <c:pt idx="9">
                  <c:v>5</c:v>
                </c:pt>
                <c:pt idx="10">
                  <c:v>5.1</c:v>
                </c:pt>
                <c:pt idx="11">
                  <c:v>5.2</c:v>
                </c:pt>
                <c:pt idx="12">
                  <c:v>5.3</c:v>
                </c:pt>
                <c:pt idx="13">
                  <c:v>5.4</c:v>
                </c:pt>
                <c:pt idx="14">
                  <c:v>5.5</c:v>
                </c:pt>
                <c:pt idx="15">
                  <c:v>5.6</c:v>
                </c:pt>
                <c:pt idx="16">
                  <c:v>5.7</c:v>
                </c:pt>
                <c:pt idx="17">
                  <c:v>5.8</c:v>
                </c:pt>
                <c:pt idx="18">
                  <c:v>5.9</c:v>
                </c:pt>
                <c:pt idx="19">
                  <c:v>6</c:v>
                </c:pt>
                <c:pt idx="20">
                  <c:v>6.1</c:v>
                </c:pt>
                <c:pt idx="21">
                  <c:v>6.2</c:v>
                </c:pt>
                <c:pt idx="22">
                  <c:v>6.3</c:v>
                </c:pt>
                <c:pt idx="23">
                  <c:v>6.4</c:v>
                </c:pt>
                <c:pt idx="24">
                  <c:v>6.5</c:v>
                </c:pt>
                <c:pt idx="25">
                  <c:v>6.6</c:v>
                </c:pt>
                <c:pt idx="26">
                  <c:v>6.7</c:v>
                </c:pt>
                <c:pt idx="27">
                  <c:v>6.8</c:v>
                </c:pt>
                <c:pt idx="28">
                  <c:v>6.9</c:v>
                </c:pt>
                <c:pt idx="29">
                  <c:v>7</c:v>
                </c:pt>
                <c:pt idx="30">
                  <c:v>7.1</c:v>
                </c:pt>
                <c:pt idx="31">
                  <c:v>7.2</c:v>
                </c:pt>
                <c:pt idx="32">
                  <c:v>7.3</c:v>
                </c:pt>
                <c:pt idx="33">
                  <c:v>7.4</c:v>
                </c:pt>
                <c:pt idx="34">
                  <c:v>7.5</c:v>
                </c:pt>
                <c:pt idx="35">
                  <c:v>7.6</c:v>
                </c:pt>
                <c:pt idx="36">
                  <c:v>7.7</c:v>
                </c:pt>
                <c:pt idx="37">
                  <c:v>7.8</c:v>
                </c:pt>
                <c:pt idx="38">
                  <c:v>7.9</c:v>
                </c:pt>
                <c:pt idx="39">
                  <c:v>8</c:v>
                </c:pt>
                <c:pt idx="40">
                  <c:v>8.1</c:v>
                </c:pt>
                <c:pt idx="41">
                  <c:v>8.2</c:v>
                </c:pt>
                <c:pt idx="42">
                  <c:v>8.3</c:v>
                </c:pt>
                <c:pt idx="43">
                  <c:v>8.4</c:v>
                </c:pt>
                <c:pt idx="44">
                  <c:v>8.5</c:v>
                </c:pt>
                <c:pt idx="45">
                  <c:v>8.6</c:v>
                </c:pt>
                <c:pt idx="46">
                  <c:v>8.7</c:v>
                </c:pt>
                <c:pt idx="47">
                  <c:v>8.8</c:v>
                </c:pt>
                <c:pt idx="48">
                  <c:v>8.9</c:v>
                </c:pt>
                <c:pt idx="49">
                  <c:v>9</c:v>
                </c:pt>
              </c:strCache>
            </c:strRef>
          </c:cat>
          <c:val>
            <c:numRef>
              <c:f>'Average Sleep hours'!$B$4:$B$54</c:f>
              <c:numCache>
                <c:formatCode>General</c:formatCode>
                <c:ptCount val="50"/>
                <c:pt idx="0">
                  <c:v>5</c:v>
                </c:pt>
                <c:pt idx="1">
                  <c:v>2</c:v>
                </c:pt>
                <c:pt idx="2">
                  <c:v>3</c:v>
                </c:pt>
                <c:pt idx="3">
                  <c:v>4</c:v>
                </c:pt>
                <c:pt idx="4">
                  <c:v>5</c:v>
                </c:pt>
                <c:pt idx="5">
                  <c:v>5</c:v>
                </c:pt>
                <c:pt idx="6">
                  <c:v>2</c:v>
                </c:pt>
                <c:pt idx="7">
                  <c:v>5</c:v>
                </c:pt>
                <c:pt idx="8">
                  <c:v>2</c:v>
                </c:pt>
                <c:pt idx="9">
                  <c:v>3</c:v>
                </c:pt>
                <c:pt idx="10">
                  <c:v>5</c:v>
                </c:pt>
                <c:pt idx="11">
                  <c:v>4</c:v>
                </c:pt>
                <c:pt idx="12">
                  <c:v>7</c:v>
                </c:pt>
                <c:pt idx="13">
                  <c:v>4</c:v>
                </c:pt>
                <c:pt idx="14">
                  <c:v>9</c:v>
                </c:pt>
                <c:pt idx="15">
                  <c:v>4</c:v>
                </c:pt>
                <c:pt idx="16">
                  <c:v>2</c:v>
                </c:pt>
                <c:pt idx="17">
                  <c:v>2</c:v>
                </c:pt>
                <c:pt idx="18">
                  <c:v>2</c:v>
                </c:pt>
                <c:pt idx="19">
                  <c:v>6</c:v>
                </c:pt>
                <c:pt idx="20">
                  <c:v>6</c:v>
                </c:pt>
                <c:pt idx="21">
                  <c:v>1</c:v>
                </c:pt>
                <c:pt idx="22">
                  <c:v>4</c:v>
                </c:pt>
                <c:pt idx="23">
                  <c:v>2</c:v>
                </c:pt>
                <c:pt idx="24">
                  <c:v>1</c:v>
                </c:pt>
                <c:pt idx="25">
                  <c:v>2</c:v>
                </c:pt>
                <c:pt idx="26">
                  <c:v>5</c:v>
                </c:pt>
                <c:pt idx="27">
                  <c:v>3</c:v>
                </c:pt>
                <c:pt idx="28">
                  <c:v>6</c:v>
                </c:pt>
                <c:pt idx="29">
                  <c:v>4</c:v>
                </c:pt>
                <c:pt idx="30">
                  <c:v>4</c:v>
                </c:pt>
                <c:pt idx="31">
                  <c:v>3</c:v>
                </c:pt>
                <c:pt idx="32">
                  <c:v>4</c:v>
                </c:pt>
                <c:pt idx="33">
                  <c:v>4</c:v>
                </c:pt>
                <c:pt idx="34">
                  <c:v>2</c:v>
                </c:pt>
                <c:pt idx="35">
                  <c:v>6</c:v>
                </c:pt>
                <c:pt idx="36">
                  <c:v>4</c:v>
                </c:pt>
                <c:pt idx="37">
                  <c:v>1</c:v>
                </c:pt>
                <c:pt idx="38">
                  <c:v>4</c:v>
                </c:pt>
                <c:pt idx="39">
                  <c:v>3</c:v>
                </c:pt>
                <c:pt idx="40">
                  <c:v>4</c:v>
                </c:pt>
                <c:pt idx="41">
                  <c:v>5</c:v>
                </c:pt>
                <c:pt idx="42">
                  <c:v>6</c:v>
                </c:pt>
                <c:pt idx="43">
                  <c:v>6</c:v>
                </c:pt>
                <c:pt idx="44">
                  <c:v>6</c:v>
                </c:pt>
                <c:pt idx="45">
                  <c:v>3</c:v>
                </c:pt>
                <c:pt idx="46">
                  <c:v>6</c:v>
                </c:pt>
                <c:pt idx="47">
                  <c:v>6</c:v>
                </c:pt>
                <c:pt idx="48">
                  <c:v>5</c:v>
                </c:pt>
                <c:pt idx="49">
                  <c:v>3</c:v>
                </c:pt>
              </c:numCache>
            </c:numRef>
          </c:val>
          <c:smooth val="0"/>
          <c:extLst>
            <c:ext xmlns:c16="http://schemas.microsoft.com/office/drawing/2014/chart" uri="{C3380CC4-5D6E-409C-BE32-E72D297353CC}">
              <c16:uniqueId val="{00000002-6E45-4CB3-9922-A39A0325C85A}"/>
            </c:ext>
          </c:extLst>
        </c:ser>
        <c:dLbls>
          <c:showLegendKey val="0"/>
          <c:showVal val="0"/>
          <c:showCatName val="0"/>
          <c:showSerName val="0"/>
          <c:showPercent val="0"/>
          <c:showBubbleSize val="0"/>
        </c:dLbls>
        <c:smooth val="0"/>
        <c:axId val="1841940544"/>
        <c:axId val="1841937632"/>
      </c:lineChart>
      <c:catAx>
        <c:axId val="184194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23A.xlsx]Student performance by exam!PivotTable1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Student</a:t>
            </a:r>
            <a:r>
              <a:rPr lang="en-US" sz="1100" baseline="0">
                <a:latin typeface="Georgia" panose="02040502050405020303" pitchFamily="18" charset="0"/>
              </a:rPr>
              <a:t> Performance by Exam Grade</a:t>
            </a:r>
            <a:endParaRPr lang="en-US" sz="1100">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lumMod val="50000"/>
            </a:schemeClr>
          </a:solidFill>
          <a:ln>
            <a:noFill/>
          </a:ln>
          <a:effectLst/>
        </c:spPr>
        <c:dLbl>
          <c:idx val="0"/>
          <c:layout>
            <c:manualLayout>
              <c:x val="3.0769230769230771E-2"/>
              <c:y val="-0.14304635761589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lumMod val="75000"/>
            </a:schemeClr>
          </a:solidFill>
          <a:ln>
            <a:noFill/>
          </a:ln>
          <a:effectLst/>
        </c:spPr>
        <c:dLbl>
          <c:idx val="0"/>
          <c:layout>
            <c:manualLayout>
              <c:x val="0.22857142857142848"/>
              <c:y val="-0.1165562913907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pivotFmt>
      <c:pivotFmt>
        <c:idx val="73"/>
        <c:spPr>
          <a:solidFill>
            <a:schemeClr val="accent6">
              <a:lumMod val="40000"/>
              <a:lumOff val="60000"/>
            </a:schemeClr>
          </a:solidFill>
          <a:ln>
            <a:noFill/>
          </a:ln>
          <a:effectLst/>
        </c:spPr>
      </c:pivotFmt>
      <c:pivotFmt>
        <c:idx val="74"/>
        <c:spPr>
          <a:solidFill>
            <a:schemeClr val="accent6">
              <a:lumMod val="20000"/>
              <a:lumOff val="80000"/>
            </a:schemeClr>
          </a:solidFill>
          <a:ln>
            <a:noFill/>
          </a:ln>
          <a:effectLst/>
        </c:spPr>
        <c:dLbl>
          <c:idx val="0"/>
          <c:layout>
            <c:manualLayout>
              <c:x val="-2.2521957951132397E-2"/>
              <c:y val="3.7086092715231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4">
              <a:lumMod val="20000"/>
              <a:lumOff val="80000"/>
            </a:schemeClr>
          </a:solidFill>
          <a:ln>
            <a:noFill/>
          </a:ln>
          <a:effectLst/>
        </c:spPr>
        <c:dLbl>
          <c:idx val="0"/>
          <c:layout>
            <c:manualLayout>
              <c:x val="-0.20659340659340658"/>
              <c:y val="-9.5364238410596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3568400103832"/>
          <c:y val="0.29111748448662461"/>
          <c:w val="0.54658544605001302"/>
          <c:h val="0.65879835219273086"/>
        </c:manualLayout>
      </c:layout>
      <c:doughnutChart>
        <c:varyColors val="1"/>
        <c:ser>
          <c:idx val="0"/>
          <c:order val="0"/>
          <c:tx>
            <c:strRef>
              <c:f>'Student performance by exam'!$B$3</c:f>
              <c:strCache>
                <c:ptCount val="1"/>
                <c:pt idx="0">
                  <c:v>Total</c:v>
                </c:pt>
              </c:strCache>
            </c:strRef>
          </c:tx>
          <c:spPr>
            <a:ln>
              <a:noFill/>
            </a:ln>
          </c:spPr>
          <c:dPt>
            <c:idx val="0"/>
            <c:bubble3D val="0"/>
            <c:spPr>
              <a:solidFill>
                <a:schemeClr val="accent6">
                  <a:lumMod val="50000"/>
                </a:schemeClr>
              </a:solidFill>
              <a:ln>
                <a:noFill/>
              </a:ln>
              <a:effectLst/>
            </c:spPr>
            <c:extLst>
              <c:ext xmlns:c16="http://schemas.microsoft.com/office/drawing/2014/chart" uri="{C3380CC4-5D6E-409C-BE32-E72D297353CC}">
                <c16:uniqueId val="{00000011-5A16-425C-9A15-93E5C0E307E4}"/>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12-5A16-425C-9A15-93E5C0E307E4}"/>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13-5A16-425C-9A15-93E5C0E307E4}"/>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14-5A16-425C-9A15-93E5C0E307E4}"/>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15-5A16-425C-9A15-93E5C0E307E4}"/>
              </c:ext>
            </c:extLst>
          </c:dPt>
          <c:dPt>
            <c:idx val="5"/>
            <c:bubble3D val="0"/>
            <c:spPr>
              <a:solidFill>
                <a:schemeClr val="accent4">
                  <a:lumMod val="20000"/>
                  <a:lumOff val="80000"/>
                </a:schemeClr>
              </a:solidFill>
              <a:ln>
                <a:noFill/>
              </a:ln>
              <a:effectLst/>
            </c:spPr>
            <c:extLst>
              <c:ext xmlns:c16="http://schemas.microsoft.com/office/drawing/2014/chart" uri="{C3380CC4-5D6E-409C-BE32-E72D297353CC}">
                <c16:uniqueId val="{00000016-5A16-425C-9A15-93E5C0E307E4}"/>
              </c:ext>
            </c:extLst>
          </c:dPt>
          <c:dLbls>
            <c:dLbl>
              <c:idx val="0"/>
              <c:layout>
                <c:manualLayout>
                  <c:x val="3.0769230769230771E-2"/>
                  <c:y val="-0.14304635761589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A16-425C-9A15-93E5C0E307E4}"/>
                </c:ext>
              </c:extLst>
            </c:dLbl>
            <c:dLbl>
              <c:idx val="1"/>
              <c:layout>
                <c:manualLayout>
                  <c:x val="0.22857142857142848"/>
                  <c:y val="-0.1165562913907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A16-425C-9A15-93E5C0E307E4}"/>
                </c:ext>
              </c:extLst>
            </c:dLbl>
            <c:dLbl>
              <c:idx val="4"/>
              <c:layout>
                <c:manualLayout>
                  <c:x val="-2.2521957951132397E-2"/>
                  <c:y val="3.7086092715231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A16-425C-9A15-93E5C0E307E4}"/>
                </c:ext>
              </c:extLst>
            </c:dLbl>
            <c:dLbl>
              <c:idx val="5"/>
              <c:layout>
                <c:manualLayout>
                  <c:x val="-0.20659340659340658"/>
                  <c:y val="-9.5364238410596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A16-425C-9A15-93E5C0E307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 performance by exam'!$A$4:$A$10</c:f>
              <c:strCache>
                <c:ptCount val="6"/>
                <c:pt idx="0">
                  <c:v>A</c:v>
                </c:pt>
                <c:pt idx="1">
                  <c:v>B</c:v>
                </c:pt>
                <c:pt idx="2">
                  <c:v>C</c:v>
                </c:pt>
                <c:pt idx="3">
                  <c:v>D</c:v>
                </c:pt>
                <c:pt idx="4">
                  <c:v>E</c:v>
                </c:pt>
                <c:pt idx="5">
                  <c:v>F</c:v>
                </c:pt>
              </c:strCache>
            </c:strRef>
          </c:cat>
          <c:val>
            <c:numRef>
              <c:f>'Student performance by exam'!$B$4:$B$10</c:f>
              <c:numCache>
                <c:formatCode>0.0%</c:formatCode>
                <c:ptCount val="6"/>
                <c:pt idx="0">
                  <c:v>5.0000000000000001E-3</c:v>
                </c:pt>
                <c:pt idx="1">
                  <c:v>5.5E-2</c:v>
                </c:pt>
                <c:pt idx="2">
                  <c:v>0.13</c:v>
                </c:pt>
                <c:pt idx="3">
                  <c:v>0.52</c:v>
                </c:pt>
                <c:pt idx="4">
                  <c:v>0.27</c:v>
                </c:pt>
                <c:pt idx="5">
                  <c:v>0.02</c:v>
                </c:pt>
              </c:numCache>
            </c:numRef>
          </c:val>
          <c:extLst>
            <c:ext xmlns:c16="http://schemas.microsoft.com/office/drawing/2014/chart" uri="{C3380CC4-5D6E-409C-BE32-E72D297353CC}">
              <c16:uniqueId val="{0000000B-5A16-425C-9A15-93E5C0E307E4}"/>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23A.xlsx]Best students!PivotTable1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60000"/>
              <a:lumOff val="40000"/>
            </a:schemeClr>
          </a:solidFill>
          <a:ln>
            <a:noFill/>
          </a:ln>
          <a:effectLst/>
        </c:spPr>
      </c:pivotFmt>
      <c:pivotFmt>
        <c:idx val="26"/>
        <c:spPr>
          <a:solidFill>
            <a:schemeClr val="accent6">
              <a:lumMod val="20000"/>
              <a:lumOff val="80000"/>
            </a:schemeClr>
          </a:solidFill>
          <a:ln>
            <a:noFill/>
          </a:ln>
          <a:effectLst/>
        </c:spPr>
      </c:pivotFmt>
      <c:pivotFmt>
        <c:idx val="27"/>
        <c:spPr>
          <a:solidFill>
            <a:schemeClr val="accent6">
              <a:lumMod val="40000"/>
              <a:lumOff val="60000"/>
            </a:schemeClr>
          </a:solidFill>
          <a:ln>
            <a:noFill/>
          </a:ln>
          <a:effectLst/>
        </c:spPr>
      </c:pivotFmt>
      <c:pivotFmt>
        <c:idx val="28"/>
        <c:spPr>
          <a:solidFill>
            <a:schemeClr val="accent6">
              <a:lumMod val="60000"/>
              <a:lumOff val="4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40000"/>
              <a:lumOff val="6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6">
              <a:lumMod val="20000"/>
              <a:lumOff val="80000"/>
            </a:schemeClr>
          </a:solidFill>
          <a:ln>
            <a:noFill/>
          </a:ln>
          <a:effectLst/>
        </c:spPr>
      </c:pivotFmt>
    </c:pivotFmts>
    <c:plotArea>
      <c:layout/>
      <c:barChart>
        <c:barDir val="col"/>
        <c:grouping val="clustered"/>
        <c:varyColors val="0"/>
        <c:ser>
          <c:idx val="0"/>
          <c:order val="0"/>
          <c:tx>
            <c:strRef>
              <c:f>'Best students'!$B$3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932C-4858-A0ED-B178A9DDB2F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932C-4858-A0ED-B178A9DDB2F1}"/>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932C-4858-A0ED-B178A9DDB2F1}"/>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932C-4858-A0ED-B178A9DDB2F1}"/>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932C-4858-A0ED-B178A9DDB2F1}"/>
              </c:ext>
            </c:extLst>
          </c:dPt>
          <c:dPt>
            <c:idx val="5"/>
            <c:invertIfNegative val="0"/>
            <c:bubble3D val="0"/>
            <c:extLst>
              <c:ext xmlns:c16="http://schemas.microsoft.com/office/drawing/2014/chart" uri="{C3380CC4-5D6E-409C-BE32-E72D297353CC}">
                <c16:uniqueId val="{0000000B-932C-4858-A0ED-B178A9DDB2F1}"/>
              </c:ext>
            </c:extLst>
          </c:dPt>
          <c:dPt>
            <c:idx val="6"/>
            <c:invertIfNegative val="0"/>
            <c:bubble3D val="0"/>
            <c:extLst>
              <c:ext xmlns:c16="http://schemas.microsoft.com/office/drawing/2014/chart" uri="{C3380CC4-5D6E-409C-BE32-E72D297353CC}">
                <c16:uniqueId val="{0000000D-932C-4858-A0ED-B178A9DDB2F1}"/>
              </c:ext>
            </c:extLst>
          </c:dPt>
          <c:dPt>
            <c:idx val="7"/>
            <c:invertIfNegative val="0"/>
            <c:bubble3D val="0"/>
            <c:extLst>
              <c:ext xmlns:c16="http://schemas.microsoft.com/office/drawing/2014/chart" uri="{C3380CC4-5D6E-409C-BE32-E72D297353CC}">
                <c16:uniqueId val="{0000000F-932C-4858-A0ED-B178A9DDB2F1}"/>
              </c:ext>
            </c:extLst>
          </c:dPt>
          <c:dPt>
            <c:idx val="8"/>
            <c:invertIfNegative val="0"/>
            <c:bubble3D val="0"/>
            <c:extLst>
              <c:ext xmlns:c16="http://schemas.microsoft.com/office/drawing/2014/chart" uri="{C3380CC4-5D6E-409C-BE32-E72D297353CC}">
                <c16:uniqueId val="{00000011-932C-4858-A0ED-B178A9DDB2F1}"/>
              </c:ext>
            </c:extLst>
          </c:dPt>
          <c:dPt>
            <c:idx val="9"/>
            <c:invertIfNegative val="0"/>
            <c:bubble3D val="0"/>
            <c:extLst>
              <c:ext xmlns:c16="http://schemas.microsoft.com/office/drawing/2014/chart" uri="{C3380CC4-5D6E-409C-BE32-E72D297353CC}">
                <c16:uniqueId val="{00000013-932C-4858-A0ED-B178A9DDB2F1}"/>
              </c:ext>
            </c:extLst>
          </c:dPt>
          <c:cat>
            <c:strRef>
              <c:f>'Best students'!$A$4:$A$9</c:f>
              <c:strCache>
                <c:ptCount val="5"/>
                <c:pt idx="0">
                  <c:v>S087</c:v>
                </c:pt>
                <c:pt idx="1">
                  <c:v>S084</c:v>
                </c:pt>
                <c:pt idx="2">
                  <c:v>S061</c:v>
                </c:pt>
                <c:pt idx="3">
                  <c:v>S121</c:v>
                </c:pt>
                <c:pt idx="4">
                  <c:v>S072</c:v>
                </c:pt>
              </c:strCache>
            </c:strRef>
          </c:cat>
          <c:val>
            <c:numRef>
              <c:f>'Best students'!$B$4:$B$9</c:f>
              <c:numCache>
                <c:formatCode>General</c:formatCode>
                <c:ptCount val="5"/>
                <c:pt idx="0">
                  <c:v>51.3</c:v>
                </c:pt>
                <c:pt idx="1">
                  <c:v>48.9</c:v>
                </c:pt>
                <c:pt idx="2">
                  <c:v>48.6</c:v>
                </c:pt>
                <c:pt idx="3">
                  <c:v>47.9</c:v>
                </c:pt>
                <c:pt idx="4">
                  <c:v>47.9</c:v>
                </c:pt>
              </c:numCache>
            </c:numRef>
          </c:val>
          <c:extLst>
            <c:ext xmlns:c16="http://schemas.microsoft.com/office/drawing/2014/chart" uri="{C3380CC4-5D6E-409C-BE32-E72D297353CC}">
              <c16:uniqueId val="{00000014-932C-4858-A0ED-B178A9DDB2F1}"/>
            </c:ext>
          </c:extLst>
        </c:ser>
        <c:dLbls>
          <c:showLegendKey val="0"/>
          <c:showVal val="0"/>
          <c:showCatName val="0"/>
          <c:showSerName val="0"/>
          <c:showPercent val="0"/>
          <c:showBubbleSize val="0"/>
        </c:dLbls>
        <c:gapWidth val="20"/>
        <c:overlap val="-27"/>
        <c:axId val="1841940544"/>
        <c:axId val="1841937632"/>
      </c:barChart>
      <c:catAx>
        <c:axId val="18419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23A.xlsx]Least students!PivotTable1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lumMod val="50000"/>
            </a:schemeClr>
          </a:solidFill>
          <a:ln>
            <a:noFill/>
          </a:ln>
          <a:effectLst/>
        </c:spPr>
      </c:pivotFmt>
      <c:pivotFmt>
        <c:idx val="45"/>
        <c:spPr>
          <a:solidFill>
            <a:schemeClr val="accent6">
              <a:lumMod val="50000"/>
            </a:schemeClr>
          </a:solidFill>
          <a:ln>
            <a:noFill/>
          </a:ln>
          <a:effectLst/>
        </c:spPr>
      </c:pivotFmt>
      <c:pivotFmt>
        <c:idx val="46"/>
        <c:spPr>
          <a:solidFill>
            <a:schemeClr val="accent6">
              <a:lumMod val="75000"/>
            </a:schemeClr>
          </a:solidFill>
          <a:ln>
            <a:noFill/>
          </a:ln>
          <a:effectLst/>
        </c:spPr>
      </c:pivotFmt>
      <c:pivotFmt>
        <c:idx val="47"/>
        <c:spPr>
          <a:solidFill>
            <a:schemeClr val="accent6">
              <a:lumMod val="75000"/>
            </a:schemeClr>
          </a:solidFill>
          <a:ln>
            <a:noFill/>
          </a:ln>
          <a:effectLst/>
        </c:spPr>
      </c:pivotFmt>
      <c:pivotFmt>
        <c:idx val="48"/>
        <c:spPr>
          <a:solidFill>
            <a:schemeClr val="accent6">
              <a:lumMod val="60000"/>
              <a:lumOff val="40000"/>
            </a:schemeClr>
          </a:solidFill>
          <a:ln>
            <a:noFill/>
          </a:ln>
          <a:effectLst/>
        </c:spPr>
      </c:pivotFmt>
      <c:pivotFmt>
        <c:idx val="49"/>
        <c:spPr>
          <a:solidFill>
            <a:schemeClr val="accent6">
              <a:lumMod val="50000"/>
            </a:schemeClr>
          </a:solidFill>
          <a:ln>
            <a:noFill/>
          </a:ln>
          <a:effectLst/>
        </c:spPr>
      </c:pivotFmt>
      <c:pivotFmt>
        <c:idx val="50"/>
        <c:spPr>
          <a:solidFill>
            <a:schemeClr val="accent6">
              <a:lumMod val="75000"/>
            </a:schemeClr>
          </a:solidFill>
          <a:ln>
            <a:noFill/>
          </a:ln>
          <a:effectLst/>
        </c:spPr>
      </c:pivotFmt>
      <c:pivotFmt>
        <c:idx val="51"/>
        <c:spPr>
          <a:solidFill>
            <a:schemeClr val="accent6">
              <a:lumMod val="60000"/>
              <a:lumOff val="40000"/>
            </a:schemeClr>
          </a:solidFill>
          <a:ln>
            <a:noFill/>
          </a:ln>
          <a:effectLst/>
        </c:spPr>
      </c:pivotFmt>
      <c:pivotFmt>
        <c:idx val="52"/>
        <c:spPr>
          <a:solidFill>
            <a:schemeClr val="accent6">
              <a:lumMod val="40000"/>
              <a:lumOff val="60000"/>
            </a:schemeClr>
          </a:solidFill>
          <a:ln>
            <a:noFill/>
          </a:ln>
          <a:effectLst/>
        </c:spPr>
      </c:pivotFmt>
      <c:pivotFmt>
        <c:idx val="53"/>
        <c:spPr>
          <a:solidFill>
            <a:schemeClr val="accent6">
              <a:lumMod val="20000"/>
              <a:lumOff val="80000"/>
            </a:schemeClr>
          </a:solidFill>
          <a:ln>
            <a:noFill/>
          </a:ln>
          <a:effectLst/>
        </c:spPr>
      </c:pivotFmt>
    </c:pivotFmts>
    <c:plotArea>
      <c:layout/>
      <c:barChart>
        <c:barDir val="col"/>
        <c:grouping val="clustered"/>
        <c:varyColors val="0"/>
        <c:ser>
          <c:idx val="0"/>
          <c:order val="0"/>
          <c:tx>
            <c:strRef>
              <c:f>'Least students'!$B$3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4088-4539-B507-8CB9C05A879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4088-4539-B507-8CB9C05A879B}"/>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4088-4539-B507-8CB9C05A879B}"/>
              </c:ext>
            </c:extLst>
          </c:dPt>
          <c:dPt>
            <c:idx val="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7-4088-4539-B507-8CB9C05A879B}"/>
              </c:ext>
            </c:extLst>
          </c:dPt>
          <c:dPt>
            <c:idx val="4"/>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9-4088-4539-B507-8CB9C05A879B}"/>
              </c:ext>
            </c:extLst>
          </c:dPt>
          <c:dPt>
            <c:idx val="5"/>
            <c:invertIfNegative val="0"/>
            <c:bubble3D val="0"/>
            <c:extLst>
              <c:ext xmlns:c16="http://schemas.microsoft.com/office/drawing/2014/chart" uri="{C3380CC4-5D6E-409C-BE32-E72D297353CC}">
                <c16:uniqueId val="{0000000B-4088-4539-B507-8CB9C05A879B}"/>
              </c:ext>
            </c:extLst>
          </c:dPt>
          <c:dPt>
            <c:idx val="6"/>
            <c:invertIfNegative val="0"/>
            <c:bubble3D val="0"/>
            <c:extLst>
              <c:ext xmlns:c16="http://schemas.microsoft.com/office/drawing/2014/chart" uri="{C3380CC4-5D6E-409C-BE32-E72D297353CC}">
                <c16:uniqueId val="{0000000D-4088-4539-B507-8CB9C05A879B}"/>
              </c:ext>
            </c:extLst>
          </c:dPt>
          <c:dPt>
            <c:idx val="7"/>
            <c:invertIfNegative val="0"/>
            <c:bubble3D val="0"/>
            <c:extLst>
              <c:ext xmlns:c16="http://schemas.microsoft.com/office/drawing/2014/chart" uri="{C3380CC4-5D6E-409C-BE32-E72D297353CC}">
                <c16:uniqueId val="{0000000F-4088-4539-B507-8CB9C05A879B}"/>
              </c:ext>
            </c:extLst>
          </c:dPt>
          <c:dPt>
            <c:idx val="8"/>
            <c:invertIfNegative val="0"/>
            <c:bubble3D val="0"/>
            <c:extLst>
              <c:ext xmlns:c16="http://schemas.microsoft.com/office/drawing/2014/chart" uri="{C3380CC4-5D6E-409C-BE32-E72D297353CC}">
                <c16:uniqueId val="{00000011-4088-4539-B507-8CB9C05A879B}"/>
              </c:ext>
            </c:extLst>
          </c:dPt>
          <c:dPt>
            <c:idx val="9"/>
            <c:invertIfNegative val="0"/>
            <c:bubble3D val="0"/>
            <c:extLst>
              <c:ext xmlns:c16="http://schemas.microsoft.com/office/drawing/2014/chart" uri="{C3380CC4-5D6E-409C-BE32-E72D297353CC}">
                <c16:uniqueId val="{00000013-4088-4539-B507-8CB9C05A879B}"/>
              </c:ext>
            </c:extLst>
          </c:dPt>
          <c:cat>
            <c:strRef>
              <c:f>'Least students'!$A$4:$A$9</c:f>
              <c:strCache>
                <c:ptCount val="5"/>
                <c:pt idx="0">
                  <c:v>S071</c:v>
                </c:pt>
                <c:pt idx="1">
                  <c:v>S184</c:v>
                </c:pt>
                <c:pt idx="2">
                  <c:v>S143</c:v>
                </c:pt>
                <c:pt idx="3">
                  <c:v>S008</c:v>
                </c:pt>
                <c:pt idx="4">
                  <c:v>S020</c:v>
                </c:pt>
              </c:strCache>
            </c:strRef>
          </c:cat>
          <c:val>
            <c:numRef>
              <c:f>'Least students'!$B$4:$B$9</c:f>
              <c:numCache>
                <c:formatCode>General</c:formatCode>
                <c:ptCount val="5"/>
                <c:pt idx="0">
                  <c:v>20.8</c:v>
                </c:pt>
                <c:pt idx="1">
                  <c:v>19.399999999999999</c:v>
                </c:pt>
                <c:pt idx="2">
                  <c:v>19</c:v>
                </c:pt>
                <c:pt idx="3">
                  <c:v>18.3</c:v>
                </c:pt>
                <c:pt idx="4">
                  <c:v>17.100000000000001</c:v>
                </c:pt>
              </c:numCache>
            </c:numRef>
          </c:val>
          <c:extLst>
            <c:ext xmlns:c16="http://schemas.microsoft.com/office/drawing/2014/chart" uri="{C3380CC4-5D6E-409C-BE32-E72D297353CC}">
              <c16:uniqueId val="{00000014-4088-4539-B507-8CB9C05A879B}"/>
            </c:ext>
          </c:extLst>
        </c:ser>
        <c:dLbls>
          <c:showLegendKey val="0"/>
          <c:showVal val="0"/>
          <c:showCatName val="0"/>
          <c:showSerName val="0"/>
          <c:showPercent val="0"/>
          <c:showBubbleSize val="0"/>
        </c:dLbls>
        <c:gapWidth val="20"/>
        <c:overlap val="-27"/>
        <c:axId val="1841940544"/>
        <c:axId val="1841937632"/>
      </c:barChart>
      <c:catAx>
        <c:axId val="184194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23A.xlsx]Attendance percent on exam grad!PivotTable1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70320832308745E-2"/>
          <c:y val="5.2322036412109051E-2"/>
          <c:w val="0.89242967656926586"/>
          <c:h val="0.80679573074155386"/>
        </c:manualLayout>
      </c:layout>
      <c:barChart>
        <c:barDir val="col"/>
        <c:grouping val="clustered"/>
        <c:varyColors val="0"/>
        <c:ser>
          <c:idx val="0"/>
          <c:order val="0"/>
          <c:tx>
            <c:strRef>
              <c:f>'Attendance percent on exam grad'!$B$3:$B$4</c:f>
              <c:strCache>
                <c:ptCount val="1"/>
                <c:pt idx="0">
                  <c:v>A</c:v>
                </c:pt>
              </c:strCache>
            </c:strRef>
          </c:tx>
          <c:spPr>
            <a:solidFill>
              <a:schemeClr val="accent6">
                <a:lumMod val="5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grad'!$B$5:$B$10</c:f>
              <c:numCache>
                <c:formatCode>General</c:formatCode>
                <c:ptCount val="5"/>
                <c:pt idx="2">
                  <c:v>1</c:v>
                </c:pt>
              </c:numCache>
            </c:numRef>
          </c:val>
          <c:extLst>
            <c:ext xmlns:c16="http://schemas.microsoft.com/office/drawing/2014/chart" uri="{C3380CC4-5D6E-409C-BE32-E72D297353CC}">
              <c16:uniqueId val="{00000000-9851-487D-BBEB-C3D1B486D553}"/>
            </c:ext>
          </c:extLst>
        </c:ser>
        <c:ser>
          <c:idx val="1"/>
          <c:order val="1"/>
          <c:tx>
            <c:strRef>
              <c:f>'Attendance percent on exam grad'!$C$3:$C$4</c:f>
              <c:strCache>
                <c:ptCount val="1"/>
                <c:pt idx="0">
                  <c:v>B</c:v>
                </c:pt>
              </c:strCache>
            </c:strRef>
          </c:tx>
          <c:spPr>
            <a:solidFill>
              <a:schemeClr val="accent6">
                <a:lumMod val="75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grad'!$C$5:$C$10</c:f>
              <c:numCache>
                <c:formatCode>General</c:formatCode>
                <c:ptCount val="5"/>
                <c:pt idx="0">
                  <c:v>1</c:v>
                </c:pt>
                <c:pt idx="1">
                  <c:v>1</c:v>
                </c:pt>
                <c:pt idx="2">
                  <c:v>3</c:v>
                </c:pt>
                <c:pt idx="3">
                  <c:v>3</c:v>
                </c:pt>
                <c:pt idx="4">
                  <c:v>3</c:v>
                </c:pt>
              </c:numCache>
            </c:numRef>
          </c:val>
          <c:extLst>
            <c:ext xmlns:c16="http://schemas.microsoft.com/office/drawing/2014/chart" uri="{C3380CC4-5D6E-409C-BE32-E72D297353CC}">
              <c16:uniqueId val="{00000001-9851-487D-BBEB-C3D1B486D553}"/>
            </c:ext>
          </c:extLst>
        </c:ser>
        <c:ser>
          <c:idx val="2"/>
          <c:order val="2"/>
          <c:tx>
            <c:strRef>
              <c:f>'Attendance percent on exam grad'!$D$3:$D$4</c:f>
              <c:strCache>
                <c:ptCount val="1"/>
                <c:pt idx="0">
                  <c:v>C</c:v>
                </c:pt>
              </c:strCache>
            </c:strRef>
          </c:tx>
          <c:spPr>
            <a:solidFill>
              <a:schemeClr val="accent6">
                <a:lumMod val="60000"/>
                <a:lumOff val="4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grad'!$D$5:$D$10</c:f>
              <c:numCache>
                <c:formatCode>General</c:formatCode>
                <c:ptCount val="5"/>
                <c:pt idx="0">
                  <c:v>1</c:v>
                </c:pt>
                <c:pt idx="1">
                  <c:v>7</c:v>
                </c:pt>
                <c:pt idx="2">
                  <c:v>2</c:v>
                </c:pt>
                <c:pt idx="3">
                  <c:v>8</c:v>
                </c:pt>
                <c:pt idx="4">
                  <c:v>8</c:v>
                </c:pt>
              </c:numCache>
            </c:numRef>
          </c:val>
          <c:extLst>
            <c:ext xmlns:c16="http://schemas.microsoft.com/office/drawing/2014/chart" uri="{C3380CC4-5D6E-409C-BE32-E72D297353CC}">
              <c16:uniqueId val="{00000002-9851-487D-BBEB-C3D1B486D553}"/>
            </c:ext>
          </c:extLst>
        </c:ser>
        <c:ser>
          <c:idx val="3"/>
          <c:order val="3"/>
          <c:tx>
            <c:strRef>
              <c:f>'Attendance percent on exam grad'!$E$3:$E$4</c:f>
              <c:strCache>
                <c:ptCount val="1"/>
                <c:pt idx="0">
                  <c:v>D</c:v>
                </c:pt>
              </c:strCache>
            </c:strRef>
          </c:tx>
          <c:spPr>
            <a:solidFill>
              <a:schemeClr val="accent6">
                <a:lumMod val="40000"/>
                <a:lumOff val="6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grad'!$E$5:$E$10</c:f>
              <c:numCache>
                <c:formatCode>General</c:formatCode>
                <c:ptCount val="5"/>
                <c:pt idx="0">
                  <c:v>20</c:v>
                </c:pt>
                <c:pt idx="1">
                  <c:v>15</c:v>
                </c:pt>
                <c:pt idx="2">
                  <c:v>24</c:v>
                </c:pt>
                <c:pt idx="3">
                  <c:v>31</c:v>
                </c:pt>
                <c:pt idx="4">
                  <c:v>14</c:v>
                </c:pt>
              </c:numCache>
            </c:numRef>
          </c:val>
          <c:extLst>
            <c:ext xmlns:c16="http://schemas.microsoft.com/office/drawing/2014/chart" uri="{C3380CC4-5D6E-409C-BE32-E72D297353CC}">
              <c16:uniqueId val="{00000003-9851-487D-BBEB-C3D1B486D553}"/>
            </c:ext>
          </c:extLst>
        </c:ser>
        <c:ser>
          <c:idx val="4"/>
          <c:order val="4"/>
          <c:tx>
            <c:strRef>
              <c:f>'Attendance percent on exam grad'!$F$3:$F$4</c:f>
              <c:strCache>
                <c:ptCount val="1"/>
                <c:pt idx="0">
                  <c:v>E</c:v>
                </c:pt>
              </c:strCache>
            </c:strRef>
          </c:tx>
          <c:spPr>
            <a:solidFill>
              <a:schemeClr val="accent6">
                <a:lumMod val="20000"/>
                <a:lumOff val="8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grad'!$F$5:$F$10</c:f>
              <c:numCache>
                <c:formatCode>General</c:formatCode>
                <c:ptCount val="5"/>
                <c:pt idx="0">
                  <c:v>12</c:v>
                </c:pt>
                <c:pt idx="1">
                  <c:v>18</c:v>
                </c:pt>
                <c:pt idx="2">
                  <c:v>5</c:v>
                </c:pt>
                <c:pt idx="3">
                  <c:v>9</c:v>
                </c:pt>
                <c:pt idx="4">
                  <c:v>10</c:v>
                </c:pt>
              </c:numCache>
            </c:numRef>
          </c:val>
          <c:extLst>
            <c:ext xmlns:c16="http://schemas.microsoft.com/office/drawing/2014/chart" uri="{C3380CC4-5D6E-409C-BE32-E72D297353CC}">
              <c16:uniqueId val="{0000000F-9851-487D-BBEB-C3D1B486D553}"/>
            </c:ext>
          </c:extLst>
        </c:ser>
        <c:ser>
          <c:idx val="5"/>
          <c:order val="5"/>
          <c:tx>
            <c:strRef>
              <c:f>'Attendance percent on exam grad'!$G$3:$G$4</c:f>
              <c:strCache>
                <c:ptCount val="1"/>
                <c:pt idx="0">
                  <c:v>F</c:v>
                </c:pt>
              </c:strCache>
            </c:strRef>
          </c:tx>
          <c:spPr>
            <a:solidFill>
              <a:schemeClr val="accent4">
                <a:lumMod val="20000"/>
                <a:lumOff val="80000"/>
              </a:schemeClr>
            </a:solidFill>
            <a:ln>
              <a:noFill/>
            </a:ln>
            <a:effectLst/>
          </c:spPr>
          <c:invertIfNegative val="0"/>
          <c:cat>
            <c:strRef>
              <c:f>'Attendance percent on exam grad'!$A$5:$A$10</c:f>
              <c:strCache>
                <c:ptCount val="5"/>
                <c:pt idx="0">
                  <c:v>50-60</c:v>
                </c:pt>
                <c:pt idx="1">
                  <c:v>60-70</c:v>
                </c:pt>
                <c:pt idx="2">
                  <c:v>70-80</c:v>
                </c:pt>
                <c:pt idx="3">
                  <c:v>80-90</c:v>
                </c:pt>
                <c:pt idx="4">
                  <c:v>90-100</c:v>
                </c:pt>
              </c:strCache>
            </c:strRef>
          </c:cat>
          <c:val>
            <c:numRef>
              <c:f>'Attendance percent on exam grad'!$G$5:$G$10</c:f>
              <c:numCache>
                <c:formatCode>General</c:formatCode>
                <c:ptCount val="5"/>
                <c:pt idx="0">
                  <c:v>3</c:v>
                </c:pt>
                <c:pt idx="2">
                  <c:v>1</c:v>
                </c:pt>
              </c:numCache>
            </c:numRef>
          </c:val>
          <c:extLst>
            <c:ext xmlns:c16="http://schemas.microsoft.com/office/drawing/2014/chart" uri="{C3380CC4-5D6E-409C-BE32-E72D297353CC}">
              <c16:uniqueId val="{00000010-9851-487D-BBEB-C3D1B486D553}"/>
            </c:ext>
          </c:extLst>
        </c:ser>
        <c:dLbls>
          <c:showLegendKey val="0"/>
          <c:showVal val="0"/>
          <c:showCatName val="0"/>
          <c:showSerName val="0"/>
          <c:showPercent val="0"/>
          <c:showBubbleSize val="0"/>
        </c:dLbls>
        <c:gapWidth val="20"/>
        <c:axId val="1841940544"/>
        <c:axId val="1841937632"/>
      </c:barChart>
      <c:catAx>
        <c:axId val="184194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legend>
      <c:legendPos val="t"/>
      <c:layout>
        <c:manualLayout>
          <c:xMode val="edge"/>
          <c:yMode val="edge"/>
          <c:x val="0.27949506335485863"/>
          <c:y val="6.2827245851422965E-3"/>
          <c:w val="0.53845447879351171"/>
          <c:h val="0.1022734918985883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069197499824657E-2"/>
          <c:y val="0.10093950510105801"/>
          <c:w val="0.89204804686954886"/>
          <c:h val="0.67301599565249848"/>
        </c:manualLayout>
      </c:layout>
      <c:scatterChart>
        <c:scatterStyle val="lineMarker"/>
        <c:varyColors val="0"/>
        <c:ser>
          <c:idx val="0"/>
          <c:order val="0"/>
          <c:tx>
            <c:strRef>
              <c:f>student_exam_scores!$H$1</c:f>
              <c:strCache>
                <c:ptCount val="1"/>
                <c:pt idx="0">
                  <c:v>Exam score</c:v>
                </c:pt>
              </c:strCache>
            </c:strRef>
          </c:tx>
          <c:spPr>
            <a:ln w="19050" cap="rnd">
              <a:noFill/>
              <a:round/>
            </a:ln>
            <a:effectLst/>
          </c:spPr>
          <c:marker>
            <c:symbol val="circle"/>
            <c:size val="5"/>
            <c:spPr>
              <a:solidFill>
                <a:schemeClr val="accent6">
                  <a:lumMod val="50000"/>
                </a:schemeClr>
              </a:solidFill>
              <a:ln w="9525">
                <a:noFill/>
              </a:ln>
              <a:effectLst/>
            </c:spPr>
          </c:marker>
          <c:trendline>
            <c:spPr>
              <a:ln w="19050" cap="rnd">
                <a:solidFill>
                  <a:schemeClr val="accent6">
                    <a:lumMod val="50000"/>
                  </a:schemeClr>
                </a:solidFill>
                <a:prstDash val="sysDot"/>
              </a:ln>
              <a:effectLst/>
            </c:spPr>
            <c:trendlineType val="linear"/>
            <c:dispRSqr val="0"/>
            <c:dispEq val="0"/>
          </c:trendline>
          <c:xVal>
            <c:numRef>
              <c:f>student_exam_scores!$B$2:$B$201</c:f>
              <c:numCache>
                <c:formatCode>General</c:formatCode>
                <c:ptCount val="200"/>
                <c:pt idx="0">
                  <c:v>8</c:v>
                </c:pt>
                <c:pt idx="1">
                  <c:v>1.3</c:v>
                </c:pt>
                <c:pt idx="2">
                  <c:v>4</c:v>
                </c:pt>
                <c:pt idx="3">
                  <c:v>3.5</c:v>
                </c:pt>
                <c:pt idx="4">
                  <c:v>9.1</c:v>
                </c:pt>
                <c:pt idx="5">
                  <c:v>8.4</c:v>
                </c:pt>
                <c:pt idx="6">
                  <c:v>10.8</c:v>
                </c:pt>
                <c:pt idx="7">
                  <c:v>2</c:v>
                </c:pt>
                <c:pt idx="8">
                  <c:v>5.6</c:v>
                </c:pt>
                <c:pt idx="9">
                  <c:v>1.3</c:v>
                </c:pt>
                <c:pt idx="10">
                  <c:v>3.4</c:v>
                </c:pt>
                <c:pt idx="11">
                  <c:v>6.6</c:v>
                </c:pt>
                <c:pt idx="12">
                  <c:v>1.3</c:v>
                </c:pt>
                <c:pt idx="13">
                  <c:v>3.2</c:v>
                </c:pt>
                <c:pt idx="14">
                  <c:v>8.1</c:v>
                </c:pt>
                <c:pt idx="15">
                  <c:v>7</c:v>
                </c:pt>
                <c:pt idx="16">
                  <c:v>3.4</c:v>
                </c:pt>
                <c:pt idx="17">
                  <c:v>7.5</c:v>
                </c:pt>
                <c:pt idx="18">
                  <c:v>9.9</c:v>
                </c:pt>
                <c:pt idx="19">
                  <c:v>1.1000000000000001</c:v>
                </c:pt>
                <c:pt idx="20">
                  <c:v>9.9</c:v>
                </c:pt>
                <c:pt idx="21">
                  <c:v>8.6999999999999993</c:v>
                </c:pt>
                <c:pt idx="22">
                  <c:v>4.7</c:v>
                </c:pt>
                <c:pt idx="23">
                  <c:v>2.7</c:v>
                </c:pt>
                <c:pt idx="24">
                  <c:v>11.5</c:v>
                </c:pt>
                <c:pt idx="25">
                  <c:v>4.7</c:v>
                </c:pt>
                <c:pt idx="26">
                  <c:v>2</c:v>
                </c:pt>
                <c:pt idx="27">
                  <c:v>2.1</c:v>
                </c:pt>
                <c:pt idx="28">
                  <c:v>10.3</c:v>
                </c:pt>
                <c:pt idx="29">
                  <c:v>7.6</c:v>
                </c:pt>
                <c:pt idx="30">
                  <c:v>9.9</c:v>
                </c:pt>
                <c:pt idx="31">
                  <c:v>9</c:v>
                </c:pt>
                <c:pt idx="32">
                  <c:v>6.9</c:v>
                </c:pt>
                <c:pt idx="33">
                  <c:v>11.7</c:v>
                </c:pt>
                <c:pt idx="34">
                  <c:v>5.2</c:v>
                </c:pt>
                <c:pt idx="35">
                  <c:v>7.1</c:v>
                </c:pt>
                <c:pt idx="36">
                  <c:v>10.1</c:v>
                </c:pt>
                <c:pt idx="37">
                  <c:v>7.8</c:v>
                </c:pt>
                <c:pt idx="38">
                  <c:v>10.5</c:v>
                </c:pt>
                <c:pt idx="39">
                  <c:v>7.4</c:v>
                </c:pt>
                <c:pt idx="40">
                  <c:v>8.8000000000000007</c:v>
                </c:pt>
                <c:pt idx="41">
                  <c:v>1.5</c:v>
                </c:pt>
                <c:pt idx="42">
                  <c:v>3.5</c:v>
                </c:pt>
                <c:pt idx="43">
                  <c:v>4.2</c:v>
                </c:pt>
                <c:pt idx="44">
                  <c:v>1.9</c:v>
                </c:pt>
                <c:pt idx="45">
                  <c:v>3.6</c:v>
                </c:pt>
                <c:pt idx="46">
                  <c:v>2.1</c:v>
                </c:pt>
                <c:pt idx="47">
                  <c:v>4.0999999999999996</c:v>
                </c:pt>
                <c:pt idx="48">
                  <c:v>8</c:v>
                </c:pt>
                <c:pt idx="49">
                  <c:v>5</c:v>
                </c:pt>
                <c:pt idx="50">
                  <c:v>5.0999999999999996</c:v>
                </c:pt>
                <c:pt idx="51">
                  <c:v>3.3</c:v>
                </c:pt>
                <c:pt idx="52">
                  <c:v>3.9</c:v>
                </c:pt>
                <c:pt idx="53">
                  <c:v>11.3</c:v>
                </c:pt>
                <c:pt idx="54">
                  <c:v>8.1</c:v>
                </c:pt>
                <c:pt idx="55">
                  <c:v>7.7</c:v>
                </c:pt>
                <c:pt idx="56">
                  <c:v>2.9</c:v>
                </c:pt>
                <c:pt idx="57">
                  <c:v>9</c:v>
                </c:pt>
                <c:pt idx="58">
                  <c:v>2.8</c:v>
                </c:pt>
                <c:pt idx="59">
                  <c:v>5.2</c:v>
                </c:pt>
                <c:pt idx="60">
                  <c:v>11.9</c:v>
                </c:pt>
                <c:pt idx="61">
                  <c:v>8</c:v>
                </c:pt>
                <c:pt idx="62">
                  <c:v>7.1</c:v>
                </c:pt>
                <c:pt idx="63">
                  <c:v>8.5</c:v>
                </c:pt>
                <c:pt idx="64">
                  <c:v>10.3</c:v>
                </c:pt>
                <c:pt idx="65">
                  <c:v>9.5</c:v>
                </c:pt>
                <c:pt idx="66">
                  <c:v>3.5</c:v>
                </c:pt>
                <c:pt idx="67">
                  <c:v>1.4</c:v>
                </c:pt>
                <c:pt idx="68">
                  <c:v>4.5</c:v>
                </c:pt>
                <c:pt idx="69">
                  <c:v>3.9</c:v>
                </c:pt>
                <c:pt idx="70">
                  <c:v>3.3</c:v>
                </c:pt>
                <c:pt idx="71">
                  <c:v>11.4</c:v>
                </c:pt>
                <c:pt idx="72">
                  <c:v>10.6</c:v>
                </c:pt>
                <c:pt idx="73">
                  <c:v>4.5</c:v>
                </c:pt>
                <c:pt idx="74">
                  <c:v>8.1999999999999993</c:v>
                </c:pt>
                <c:pt idx="75">
                  <c:v>5.4</c:v>
                </c:pt>
                <c:pt idx="76">
                  <c:v>11.1</c:v>
                </c:pt>
                <c:pt idx="77">
                  <c:v>6</c:v>
                </c:pt>
                <c:pt idx="78">
                  <c:v>3.9</c:v>
                </c:pt>
                <c:pt idx="79">
                  <c:v>3.7</c:v>
                </c:pt>
                <c:pt idx="80">
                  <c:v>7.2</c:v>
                </c:pt>
                <c:pt idx="81">
                  <c:v>3.9</c:v>
                </c:pt>
                <c:pt idx="82">
                  <c:v>7.4</c:v>
                </c:pt>
                <c:pt idx="83">
                  <c:v>10.9</c:v>
                </c:pt>
                <c:pt idx="84">
                  <c:v>5.4</c:v>
                </c:pt>
                <c:pt idx="85">
                  <c:v>3.4</c:v>
                </c:pt>
                <c:pt idx="86">
                  <c:v>12</c:v>
                </c:pt>
                <c:pt idx="87">
                  <c:v>6.6</c:v>
                </c:pt>
                <c:pt idx="88">
                  <c:v>2</c:v>
                </c:pt>
                <c:pt idx="89">
                  <c:v>1.5</c:v>
                </c:pt>
                <c:pt idx="90">
                  <c:v>2.2000000000000002</c:v>
                </c:pt>
                <c:pt idx="91">
                  <c:v>7.9</c:v>
                </c:pt>
                <c:pt idx="92">
                  <c:v>9.6999999999999993</c:v>
                </c:pt>
                <c:pt idx="93">
                  <c:v>5.6</c:v>
                </c:pt>
                <c:pt idx="94">
                  <c:v>1.7</c:v>
                </c:pt>
                <c:pt idx="95">
                  <c:v>5.2</c:v>
                </c:pt>
                <c:pt idx="96">
                  <c:v>12</c:v>
                </c:pt>
                <c:pt idx="97">
                  <c:v>6.8</c:v>
                </c:pt>
                <c:pt idx="98">
                  <c:v>11.7</c:v>
                </c:pt>
                <c:pt idx="99">
                  <c:v>10.5</c:v>
                </c:pt>
                <c:pt idx="100">
                  <c:v>1.1000000000000001</c:v>
                </c:pt>
                <c:pt idx="101">
                  <c:v>8.9</c:v>
                </c:pt>
                <c:pt idx="102">
                  <c:v>8.5</c:v>
                </c:pt>
                <c:pt idx="103">
                  <c:v>6.9</c:v>
                </c:pt>
                <c:pt idx="104">
                  <c:v>3.9</c:v>
                </c:pt>
                <c:pt idx="105">
                  <c:v>8.1</c:v>
                </c:pt>
                <c:pt idx="106">
                  <c:v>2.2000000000000002</c:v>
                </c:pt>
                <c:pt idx="107">
                  <c:v>5.8</c:v>
                </c:pt>
                <c:pt idx="108">
                  <c:v>6</c:v>
                </c:pt>
                <c:pt idx="109">
                  <c:v>11.5</c:v>
                </c:pt>
                <c:pt idx="110">
                  <c:v>10.6</c:v>
                </c:pt>
                <c:pt idx="111">
                  <c:v>3.9</c:v>
                </c:pt>
                <c:pt idx="112">
                  <c:v>6.5</c:v>
                </c:pt>
                <c:pt idx="113">
                  <c:v>3</c:v>
                </c:pt>
                <c:pt idx="114">
                  <c:v>11</c:v>
                </c:pt>
                <c:pt idx="115">
                  <c:v>10.6</c:v>
                </c:pt>
                <c:pt idx="116">
                  <c:v>4.3</c:v>
                </c:pt>
                <c:pt idx="117">
                  <c:v>8</c:v>
                </c:pt>
                <c:pt idx="118">
                  <c:v>7.7</c:v>
                </c:pt>
                <c:pt idx="119">
                  <c:v>2.7</c:v>
                </c:pt>
                <c:pt idx="120">
                  <c:v>9.4</c:v>
                </c:pt>
                <c:pt idx="121">
                  <c:v>6.9</c:v>
                </c:pt>
                <c:pt idx="122">
                  <c:v>9.6</c:v>
                </c:pt>
                <c:pt idx="123">
                  <c:v>6.8</c:v>
                </c:pt>
                <c:pt idx="124">
                  <c:v>1</c:v>
                </c:pt>
                <c:pt idx="125">
                  <c:v>4.5999999999999996</c:v>
                </c:pt>
                <c:pt idx="126">
                  <c:v>1.2</c:v>
                </c:pt>
                <c:pt idx="127">
                  <c:v>11.2</c:v>
                </c:pt>
                <c:pt idx="128">
                  <c:v>10.7</c:v>
                </c:pt>
                <c:pt idx="129">
                  <c:v>10.1</c:v>
                </c:pt>
                <c:pt idx="130">
                  <c:v>4.4000000000000004</c:v>
                </c:pt>
                <c:pt idx="131">
                  <c:v>1.6</c:v>
                </c:pt>
                <c:pt idx="132">
                  <c:v>10.7</c:v>
                </c:pt>
                <c:pt idx="133">
                  <c:v>11.4</c:v>
                </c:pt>
                <c:pt idx="134">
                  <c:v>1.9</c:v>
                </c:pt>
                <c:pt idx="135">
                  <c:v>6.3</c:v>
                </c:pt>
                <c:pt idx="136">
                  <c:v>1.8</c:v>
                </c:pt>
                <c:pt idx="137">
                  <c:v>9.4</c:v>
                </c:pt>
                <c:pt idx="138">
                  <c:v>9.4</c:v>
                </c:pt>
                <c:pt idx="139">
                  <c:v>2.4</c:v>
                </c:pt>
                <c:pt idx="140">
                  <c:v>6.2</c:v>
                </c:pt>
                <c:pt idx="141">
                  <c:v>7</c:v>
                </c:pt>
                <c:pt idx="142">
                  <c:v>3.9</c:v>
                </c:pt>
                <c:pt idx="143">
                  <c:v>10.6</c:v>
                </c:pt>
                <c:pt idx="144">
                  <c:v>5.7</c:v>
                </c:pt>
                <c:pt idx="145">
                  <c:v>3.3</c:v>
                </c:pt>
                <c:pt idx="146">
                  <c:v>6.9</c:v>
                </c:pt>
                <c:pt idx="147">
                  <c:v>9</c:v>
                </c:pt>
                <c:pt idx="148">
                  <c:v>3.2</c:v>
                </c:pt>
                <c:pt idx="149">
                  <c:v>4.4000000000000004</c:v>
                </c:pt>
                <c:pt idx="150">
                  <c:v>11.9</c:v>
                </c:pt>
                <c:pt idx="151">
                  <c:v>8.1</c:v>
                </c:pt>
                <c:pt idx="152">
                  <c:v>5.8</c:v>
                </c:pt>
                <c:pt idx="153">
                  <c:v>6.7</c:v>
                </c:pt>
                <c:pt idx="154">
                  <c:v>2.2999999999999998</c:v>
                </c:pt>
                <c:pt idx="155">
                  <c:v>3.5</c:v>
                </c:pt>
                <c:pt idx="156">
                  <c:v>4.7</c:v>
                </c:pt>
                <c:pt idx="157">
                  <c:v>7.5</c:v>
                </c:pt>
                <c:pt idx="158">
                  <c:v>3.5</c:v>
                </c:pt>
                <c:pt idx="159">
                  <c:v>3.4</c:v>
                </c:pt>
                <c:pt idx="160">
                  <c:v>1.8</c:v>
                </c:pt>
                <c:pt idx="161">
                  <c:v>7.9</c:v>
                </c:pt>
                <c:pt idx="162">
                  <c:v>3.5</c:v>
                </c:pt>
                <c:pt idx="163">
                  <c:v>11</c:v>
                </c:pt>
                <c:pt idx="164">
                  <c:v>10.5</c:v>
                </c:pt>
                <c:pt idx="165">
                  <c:v>1.8</c:v>
                </c:pt>
                <c:pt idx="166">
                  <c:v>3.6</c:v>
                </c:pt>
                <c:pt idx="167">
                  <c:v>8.4</c:v>
                </c:pt>
                <c:pt idx="168">
                  <c:v>3.4</c:v>
                </c:pt>
                <c:pt idx="169">
                  <c:v>2.5</c:v>
                </c:pt>
                <c:pt idx="170">
                  <c:v>11.3</c:v>
                </c:pt>
                <c:pt idx="171">
                  <c:v>7.3</c:v>
                </c:pt>
                <c:pt idx="172">
                  <c:v>6.2</c:v>
                </c:pt>
                <c:pt idx="173">
                  <c:v>9.6</c:v>
                </c:pt>
                <c:pt idx="174">
                  <c:v>9.9</c:v>
                </c:pt>
                <c:pt idx="175">
                  <c:v>3.1</c:v>
                </c:pt>
                <c:pt idx="176">
                  <c:v>2.1</c:v>
                </c:pt>
                <c:pt idx="177">
                  <c:v>5.7</c:v>
                </c:pt>
                <c:pt idx="178">
                  <c:v>5.7</c:v>
                </c:pt>
                <c:pt idx="179">
                  <c:v>6.1</c:v>
                </c:pt>
                <c:pt idx="180">
                  <c:v>9</c:v>
                </c:pt>
                <c:pt idx="181">
                  <c:v>8.4</c:v>
                </c:pt>
                <c:pt idx="182">
                  <c:v>11.8</c:v>
                </c:pt>
                <c:pt idx="183">
                  <c:v>2.1</c:v>
                </c:pt>
                <c:pt idx="184">
                  <c:v>5.4</c:v>
                </c:pt>
                <c:pt idx="185">
                  <c:v>4.7</c:v>
                </c:pt>
                <c:pt idx="186">
                  <c:v>10.5</c:v>
                </c:pt>
                <c:pt idx="187">
                  <c:v>3.7</c:v>
                </c:pt>
                <c:pt idx="188">
                  <c:v>3.1</c:v>
                </c:pt>
                <c:pt idx="189">
                  <c:v>5.9</c:v>
                </c:pt>
                <c:pt idx="190">
                  <c:v>5.6</c:v>
                </c:pt>
                <c:pt idx="191">
                  <c:v>4.0999999999999996</c:v>
                </c:pt>
                <c:pt idx="192">
                  <c:v>3.7</c:v>
                </c:pt>
                <c:pt idx="193">
                  <c:v>11.2</c:v>
                </c:pt>
                <c:pt idx="194">
                  <c:v>5.9</c:v>
                </c:pt>
                <c:pt idx="195">
                  <c:v>10.5</c:v>
                </c:pt>
                <c:pt idx="196">
                  <c:v>7.1</c:v>
                </c:pt>
                <c:pt idx="197">
                  <c:v>1.6</c:v>
                </c:pt>
                <c:pt idx="198">
                  <c:v>12</c:v>
                </c:pt>
                <c:pt idx="199">
                  <c:v>10.199999999999999</c:v>
                </c:pt>
              </c:numCache>
            </c:numRef>
          </c:xVal>
          <c:yVal>
            <c:numRef>
              <c:f>student_exam_scores!$H$2:$H$201</c:f>
              <c:numCache>
                <c:formatCode>General</c:formatCode>
                <c:ptCount val="200"/>
                <c:pt idx="0">
                  <c:v>30.2</c:v>
                </c:pt>
                <c:pt idx="1">
                  <c:v>25</c:v>
                </c:pt>
                <c:pt idx="2">
                  <c:v>35.799999999999997</c:v>
                </c:pt>
                <c:pt idx="3">
                  <c:v>34</c:v>
                </c:pt>
                <c:pt idx="4">
                  <c:v>40.299999999999997</c:v>
                </c:pt>
                <c:pt idx="5">
                  <c:v>35.700000000000003</c:v>
                </c:pt>
                <c:pt idx="6">
                  <c:v>37.9</c:v>
                </c:pt>
                <c:pt idx="7">
                  <c:v>18.3</c:v>
                </c:pt>
                <c:pt idx="8">
                  <c:v>34.700000000000003</c:v>
                </c:pt>
                <c:pt idx="9">
                  <c:v>24.7</c:v>
                </c:pt>
                <c:pt idx="10">
                  <c:v>29.3</c:v>
                </c:pt>
                <c:pt idx="11">
                  <c:v>35.1</c:v>
                </c:pt>
                <c:pt idx="12">
                  <c:v>31.2</c:v>
                </c:pt>
                <c:pt idx="13">
                  <c:v>30.2</c:v>
                </c:pt>
                <c:pt idx="14">
                  <c:v>41.1</c:v>
                </c:pt>
                <c:pt idx="15">
                  <c:v>34.1</c:v>
                </c:pt>
                <c:pt idx="16">
                  <c:v>28.9</c:v>
                </c:pt>
                <c:pt idx="17">
                  <c:v>36.299999999999997</c:v>
                </c:pt>
                <c:pt idx="18">
                  <c:v>35.6</c:v>
                </c:pt>
                <c:pt idx="19">
                  <c:v>17.100000000000001</c:v>
                </c:pt>
                <c:pt idx="20">
                  <c:v>46</c:v>
                </c:pt>
                <c:pt idx="21">
                  <c:v>36.1</c:v>
                </c:pt>
                <c:pt idx="22">
                  <c:v>29.6</c:v>
                </c:pt>
                <c:pt idx="23">
                  <c:v>35.9</c:v>
                </c:pt>
                <c:pt idx="24">
                  <c:v>39.200000000000003</c:v>
                </c:pt>
                <c:pt idx="25">
                  <c:v>30</c:v>
                </c:pt>
                <c:pt idx="26">
                  <c:v>29</c:v>
                </c:pt>
                <c:pt idx="27">
                  <c:v>26.5</c:v>
                </c:pt>
                <c:pt idx="28">
                  <c:v>37.200000000000003</c:v>
                </c:pt>
                <c:pt idx="29">
                  <c:v>36.200000000000003</c:v>
                </c:pt>
                <c:pt idx="30">
                  <c:v>34.5</c:v>
                </c:pt>
                <c:pt idx="31">
                  <c:v>41.6</c:v>
                </c:pt>
                <c:pt idx="32">
                  <c:v>38.1</c:v>
                </c:pt>
                <c:pt idx="33">
                  <c:v>42.7</c:v>
                </c:pt>
                <c:pt idx="34">
                  <c:v>32</c:v>
                </c:pt>
                <c:pt idx="35">
                  <c:v>32</c:v>
                </c:pt>
                <c:pt idx="36">
                  <c:v>44.7</c:v>
                </c:pt>
                <c:pt idx="37">
                  <c:v>38.299999999999997</c:v>
                </c:pt>
                <c:pt idx="38">
                  <c:v>39.799999999999997</c:v>
                </c:pt>
                <c:pt idx="39">
                  <c:v>35</c:v>
                </c:pt>
                <c:pt idx="40">
                  <c:v>34.200000000000003</c:v>
                </c:pt>
                <c:pt idx="41">
                  <c:v>23.1</c:v>
                </c:pt>
                <c:pt idx="42">
                  <c:v>37.200000000000003</c:v>
                </c:pt>
                <c:pt idx="43">
                  <c:v>30.3</c:v>
                </c:pt>
                <c:pt idx="44">
                  <c:v>26.1</c:v>
                </c:pt>
                <c:pt idx="45">
                  <c:v>31.8</c:v>
                </c:pt>
                <c:pt idx="46">
                  <c:v>31.6</c:v>
                </c:pt>
                <c:pt idx="47">
                  <c:v>31.1</c:v>
                </c:pt>
                <c:pt idx="48">
                  <c:v>41.2</c:v>
                </c:pt>
                <c:pt idx="49">
                  <c:v>30.6</c:v>
                </c:pt>
                <c:pt idx="50">
                  <c:v>28.8</c:v>
                </c:pt>
                <c:pt idx="51">
                  <c:v>30.7</c:v>
                </c:pt>
                <c:pt idx="52">
                  <c:v>26.9</c:v>
                </c:pt>
                <c:pt idx="53">
                  <c:v>46.4</c:v>
                </c:pt>
                <c:pt idx="54">
                  <c:v>34.4</c:v>
                </c:pt>
                <c:pt idx="55">
                  <c:v>37</c:v>
                </c:pt>
                <c:pt idx="56">
                  <c:v>35.200000000000003</c:v>
                </c:pt>
                <c:pt idx="57">
                  <c:v>38.200000000000003</c:v>
                </c:pt>
                <c:pt idx="58">
                  <c:v>33</c:v>
                </c:pt>
                <c:pt idx="59">
                  <c:v>29.2</c:v>
                </c:pt>
                <c:pt idx="60">
                  <c:v>48.6</c:v>
                </c:pt>
                <c:pt idx="61">
                  <c:v>36.1</c:v>
                </c:pt>
                <c:pt idx="62">
                  <c:v>27.1</c:v>
                </c:pt>
                <c:pt idx="63">
                  <c:v>36.1</c:v>
                </c:pt>
                <c:pt idx="64">
                  <c:v>39.5</c:v>
                </c:pt>
                <c:pt idx="65">
                  <c:v>36.700000000000003</c:v>
                </c:pt>
                <c:pt idx="66">
                  <c:v>21.7</c:v>
                </c:pt>
                <c:pt idx="67">
                  <c:v>32.200000000000003</c:v>
                </c:pt>
                <c:pt idx="68">
                  <c:v>33.5</c:v>
                </c:pt>
                <c:pt idx="69">
                  <c:v>23.9</c:v>
                </c:pt>
                <c:pt idx="70">
                  <c:v>20.8</c:v>
                </c:pt>
                <c:pt idx="71">
                  <c:v>47.9</c:v>
                </c:pt>
                <c:pt idx="72">
                  <c:v>41.9</c:v>
                </c:pt>
                <c:pt idx="73">
                  <c:v>29.5</c:v>
                </c:pt>
                <c:pt idx="74">
                  <c:v>33.5</c:v>
                </c:pt>
                <c:pt idx="75">
                  <c:v>26.3</c:v>
                </c:pt>
                <c:pt idx="76">
                  <c:v>39.9</c:v>
                </c:pt>
                <c:pt idx="77">
                  <c:v>40.299999999999997</c:v>
                </c:pt>
                <c:pt idx="78">
                  <c:v>26.5</c:v>
                </c:pt>
                <c:pt idx="79">
                  <c:v>34.200000000000003</c:v>
                </c:pt>
                <c:pt idx="80">
                  <c:v>30.8</c:v>
                </c:pt>
                <c:pt idx="81">
                  <c:v>32.4</c:v>
                </c:pt>
                <c:pt idx="82">
                  <c:v>39.799999999999997</c:v>
                </c:pt>
                <c:pt idx="83">
                  <c:v>48.9</c:v>
                </c:pt>
                <c:pt idx="84">
                  <c:v>38</c:v>
                </c:pt>
                <c:pt idx="85">
                  <c:v>26.5</c:v>
                </c:pt>
                <c:pt idx="86">
                  <c:v>51.3</c:v>
                </c:pt>
                <c:pt idx="87">
                  <c:v>28.6</c:v>
                </c:pt>
                <c:pt idx="88">
                  <c:v>32.1</c:v>
                </c:pt>
                <c:pt idx="89">
                  <c:v>23.9</c:v>
                </c:pt>
                <c:pt idx="90">
                  <c:v>27.3</c:v>
                </c:pt>
                <c:pt idx="91">
                  <c:v>34</c:v>
                </c:pt>
                <c:pt idx="92">
                  <c:v>37.5</c:v>
                </c:pt>
                <c:pt idx="93">
                  <c:v>29.1</c:v>
                </c:pt>
                <c:pt idx="94">
                  <c:v>28.1</c:v>
                </c:pt>
                <c:pt idx="95">
                  <c:v>28.7</c:v>
                </c:pt>
                <c:pt idx="96">
                  <c:v>36.9</c:v>
                </c:pt>
                <c:pt idx="97">
                  <c:v>36</c:v>
                </c:pt>
                <c:pt idx="98">
                  <c:v>39.9</c:v>
                </c:pt>
                <c:pt idx="99">
                  <c:v>37.1</c:v>
                </c:pt>
                <c:pt idx="100">
                  <c:v>31.4</c:v>
                </c:pt>
                <c:pt idx="101">
                  <c:v>31.3</c:v>
                </c:pt>
                <c:pt idx="102">
                  <c:v>35.700000000000003</c:v>
                </c:pt>
                <c:pt idx="103">
                  <c:v>32.6</c:v>
                </c:pt>
                <c:pt idx="104">
                  <c:v>24.1</c:v>
                </c:pt>
                <c:pt idx="105">
                  <c:v>38.200000000000003</c:v>
                </c:pt>
                <c:pt idx="106">
                  <c:v>23.7</c:v>
                </c:pt>
                <c:pt idx="107">
                  <c:v>39.200000000000003</c:v>
                </c:pt>
                <c:pt idx="108">
                  <c:v>23.2</c:v>
                </c:pt>
                <c:pt idx="109">
                  <c:v>42.2</c:v>
                </c:pt>
                <c:pt idx="110">
                  <c:v>39.6</c:v>
                </c:pt>
                <c:pt idx="111">
                  <c:v>34.799999999999997</c:v>
                </c:pt>
                <c:pt idx="112">
                  <c:v>34.6</c:v>
                </c:pt>
                <c:pt idx="113">
                  <c:v>26.4</c:v>
                </c:pt>
                <c:pt idx="114">
                  <c:v>43.1</c:v>
                </c:pt>
                <c:pt idx="115">
                  <c:v>46.4</c:v>
                </c:pt>
                <c:pt idx="116">
                  <c:v>25.2</c:v>
                </c:pt>
                <c:pt idx="117">
                  <c:v>31.3</c:v>
                </c:pt>
                <c:pt idx="118">
                  <c:v>35.799999999999997</c:v>
                </c:pt>
                <c:pt idx="119">
                  <c:v>29.8</c:v>
                </c:pt>
                <c:pt idx="120">
                  <c:v>47.9</c:v>
                </c:pt>
                <c:pt idx="121">
                  <c:v>40.9</c:v>
                </c:pt>
                <c:pt idx="122">
                  <c:v>44.1</c:v>
                </c:pt>
                <c:pt idx="123">
                  <c:v>39.299999999999997</c:v>
                </c:pt>
                <c:pt idx="124">
                  <c:v>21.2</c:v>
                </c:pt>
                <c:pt idx="125">
                  <c:v>38.6</c:v>
                </c:pt>
                <c:pt idx="126">
                  <c:v>26.8</c:v>
                </c:pt>
                <c:pt idx="127">
                  <c:v>42.7</c:v>
                </c:pt>
                <c:pt idx="128">
                  <c:v>36.1</c:v>
                </c:pt>
                <c:pt idx="129">
                  <c:v>39.200000000000003</c:v>
                </c:pt>
                <c:pt idx="130">
                  <c:v>32.9</c:v>
                </c:pt>
                <c:pt idx="131">
                  <c:v>28.8</c:v>
                </c:pt>
                <c:pt idx="132">
                  <c:v>45.7</c:v>
                </c:pt>
                <c:pt idx="133">
                  <c:v>40.799999999999997</c:v>
                </c:pt>
                <c:pt idx="134">
                  <c:v>30.6</c:v>
                </c:pt>
                <c:pt idx="135">
                  <c:v>41.1</c:v>
                </c:pt>
                <c:pt idx="136">
                  <c:v>29</c:v>
                </c:pt>
                <c:pt idx="137">
                  <c:v>35.1</c:v>
                </c:pt>
                <c:pt idx="138">
                  <c:v>39.9</c:v>
                </c:pt>
                <c:pt idx="139">
                  <c:v>29.9</c:v>
                </c:pt>
                <c:pt idx="140">
                  <c:v>35</c:v>
                </c:pt>
                <c:pt idx="141">
                  <c:v>43.3</c:v>
                </c:pt>
                <c:pt idx="142">
                  <c:v>19</c:v>
                </c:pt>
                <c:pt idx="143">
                  <c:v>35.1</c:v>
                </c:pt>
                <c:pt idx="144">
                  <c:v>29.9</c:v>
                </c:pt>
                <c:pt idx="145">
                  <c:v>33</c:v>
                </c:pt>
                <c:pt idx="146">
                  <c:v>45.8</c:v>
                </c:pt>
                <c:pt idx="147">
                  <c:v>35.5</c:v>
                </c:pt>
                <c:pt idx="148">
                  <c:v>26.4</c:v>
                </c:pt>
                <c:pt idx="149">
                  <c:v>21.9</c:v>
                </c:pt>
                <c:pt idx="150">
                  <c:v>44.1</c:v>
                </c:pt>
                <c:pt idx="151">
                  <c:v>42.3</c:v>
                </c:pt>
                <c:pt idx="152">
                  <c:v>27.7</c:v>
                </c:pt>
                <c:pt idx="153">
                  <c:v>33.4</c:v>
                </c:pt>
                <c:pt idx="154">
                  <c:v>29.7</c:v>
                </c:pt>
                <c:pt idx="155">
                  <c:v>23.6</c:v>
                </c:pt>
                <c:pt idx="156">
                  <c:v>33.6</c:v>
                </c:pt>
                <c:pt idx="157">
                  <c:v>37.9</c:v>
                </c:pt>
                <c:pt idx="158">
                  <c:v>29.5</c:v>
                </c:pt>
                <c:pt idx="159">
                  <c:v>24.7</c:v>
                </c:pt>
                <c:pt idx="160">
                  <c:v>25.2</c:v>
                </c:pt>
                <c:pt idx="161">
                  <c:v>31.4</c:v>
                </c:pt>
                <c:pt idx="162">
                  <c:v>30</c:v>
                </c:pt>
                <c:pt idx="163">
                  <c:v>35.799999999999997</c:v>
                </c:pt>
                <c:pt idx="164">
                  <c:v>40.6</c:v>
                </c:pt>
                <c:pt idx="165">
                  <c:v>30.1</c:v>
                </c:pt>
                <c:pt idx="166">
                  <c:v>30.3</c:v>
                </c:pt>
                <c:pt idx="167">
                  <c:v>42</c:v>
                </c:pt>
                <c:pt idx="168">
                  <c:v>32.1</c:v>
                </c:pt>
                <c:pt idx="169">
                  <c:v>22.8</c:v>
                </c:pt>
                <c:pt idx="170">
                  <c:v>45.3</c:v>
                </c:pt>
                <c:pt idx="171">
                  <c:v>31</c:v>
                </c:pt>
                <c:pt idx="172">
                  <c:v>31</c:v>
                </c:pt>
                <c:pt idx="173">
                  <c:v>40.9</c:v>
                </c:pt>
                <c:pt idx="174">
                  <c:v>44.8</c:v>
                </c:pt>
                <c:pt idx="175">
                  <c:v>34.4</c:v>
                </c:pt>
                <c:pt idx="176">
                  <c:v>30.7</c:v>
                </c:pt>
                <c:pt idx="177">
                  <c:v>31</c:v>
                </c:pt>
                <c:pt idx="178">
                  <c:v>35</c:v>
                </c:pt>
                <c:pt idx="179">
                  <c:v>31.4</c:v>
                </c:pt>
                <c:pt idx="180">
                  <c:v>38.4</c:v>
                </c:pt>
                <c:pt idx="181">
                  <c:v>36.1</c:v>
                </c:pt>
                <c:pt idx="182">
                  <c:v>44.1</c:v>
                </c:pt>
                <c:pt idx="183">
                  <c:v>19.399999999999999</c:v>
                </c:pt>
                <c:pt idx="184">
                  <c:v>39.4</c:v>
                </c:pt>
                <c:pt idx="185">
                  <c:v>22.9</c:v>
                </c:pt>
                <c:pt idx="186">
                  <c:v>36.200000000000003</c:v>
                </c:pt>
                <c:pt idx="187">
                  <c:v>33.4</c:v>
                </c:pt>
                <c:pt idx="188">
                  <c:v>23.4</c:v>
                </c:pt>
                <c:pt idx="189">
                  <c:v>28</c:v>
                </c:pt>
                <c:pt idx="190">
                  <c:v>32.200000000000003</c:v>
                </c:pt>
                <c:pt idx="191">
                  <c:v>30.7</c:v>
                </c:pt>
                <c:pt idx="192">
                  <c:v>28.8</c:v>
                </c:pt>
                <c:pt idx="193">
                  <c:v>46.7</c:v>
                </c:pt>
                <c:pt idx="194">
                  <c:v>33.799999999999997</c:v>
                </c:pt>
                <c:pt idx="195">
                  <c:v>42.7</c:v>
                </c:pt>
                <c:pt idx="196">
                  <c:v>40.4</c:v>
                </c:pt>
                <c:pt idx="197">
                  <c:v>28.2</c:v>
                </c:pt>
                <c:pt idx="198">
                  <c:v>42</c:v>
                </c:pt>
                <c:pt idx="199">
                  <c:v>37.799999999999997</c:v>
                </c:pt>
              </c:numCache>
            </c:numRef>
          </c:yVal>
          <c:smooth val="0"/>
          <c:extLst>
            <c:ext xmlns:c16="http://schemas.microsoft.com/office/drawing/2014/chart" uri="{C3380CC4-5D6E-409C-BE32-E72D297353CC}">
              <c16:uniqueId val="{00000001-2EC0-4EEE-96FE-938EEB639B45}"/>
            </c:ext>
          </c:extLst>
        </c:ser>
        <c:dLbls>
          <c:showLegendKey val="0"/>
          <c:showVal val="0"/>
          <c:showCatName val="0"/>
          <c:showSerName val="0"/>
          <c:showPercent val="0"/>
          <c:showBubbleSize val="0"/>
        </c:dLbls>
        <c:axId val="1987579648"/>
        <c:axId val="1987580064"/>
      </c:scatterChart>
      <c:valAx>
        <c:axId val="1987579648"/>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solidFill>
                      <a:schemeClr val="tx1"/>
                    </a:solidFill>
                    <a:latin typeface="Georgia" panose="02040502050405020303" pitchFamily="18" charset="0"/>
                  </a:rPr>
                  <a:t>Study</a:t>
                </a:r>
                <a:r>
                  <a:rPr lang="en-GB" sz="1200" baseline="0">
                    <a:solidFill>
                      <a:schemeClr val="tx1"/>
                    </a:solidFill>
                    <a:latin typeface="Georgia" panose="02040502050405020303" pitchFamily="18" charset="0"/>
                  </a:rPr>
                  <a:t> hours</a:t>
                </a:r>
                <a:endParaRPr lang="en-GB" sz="1200">
                  <a:solidFill>
                    <a:schemeClr val="tx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987580064"/>
        <c:crosses val="autoZero"/>
        <c:crossBetween val="midCat"/>
      </c:valAx>
      <c:valAx>
        <c:axId val="198758006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r>
                  <a:rPr lang="en-GB" sz="1200">
                    <a:solidFill>
                      <a:schemeClr val="tx1"/>
                    </a:solidFill>
                    <a:latin typeface="Georgia" panose="02040502050405020303" pitchFamily="18" charset="0"/>
                  </a:rPr>
                  <a:t>Exam score</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baseline="0">
                <a:solidFill>
                  <a:schemeClr val="tx1"/>
                </a:solidFill>
                <a:latin typeface="Georgia" panose="02040502050405020303" pitchFamily="18" charset="0"/>
                <a:ea typeface="+mn-ea"/>
                <a:cs typeface="+mn-cs"/>
              </a:defRPr>
            </a:pPr>
            <a:endParaRPr lang="en-NG"/>
          </a:p>
        </c:txPr>
        <c:crossAx val="198757964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23A.xlsx]Average Study hours!PivotTable1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6">
                <a:lumMod val="50000"/>
                <a:alpha val="98000"/>
              </a:schemeClr>
            </a:solidFill>
            <a:round/>
          </a:ln>
          <a:effectLst/>
        </c:spPr>
        <c:marker>
          <c:symbol val="circle"/>
          <c:size val="5"/>
          <c:spPr>
            <a:solidFill>
              <a:schemeClr val="accent6">
                <a:lumMod val="50000"/>
                <a:alpha val="90000"/>
              </a:schemeClr>
            </a:solidFill>
            <a:ln w="222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55213088376075E-2"/>
          <c:y val="7.0283476628185473E-2"/>
          <c:w val="0.92440658499843986"/>
          <c:h val="0.70193311066924646"/>
        </c:manualLayout>
      </c:layout>
      <c:lineChart>
        <c:grouping val="standard"/>
        <c:varyColors val="0"/>
        <c:ser>
          <c:idx val="0"/>
          <c:order val="0"/>
          <c:tx>
            <c:strRef>
              <c:f>'Average Study hours'!$B$3</c:f>
              <c:strCache>
                <c:ptCount val="1"/>
                <c:pt idx="0">
                  <c:v>Total</c:v>
                </c:pt>
              </c:strCache>
            </c:strRef>
          </c:tx>
          <c:spPr>
            <a:ln w="28575" cap="rnd">
              <a:solidFill>
                <a:schemeClr val="accent6">
                  <a:lumMod val="50000"/>
                  <a:alpha val="98000"/>
                </a:schemeClr>
              </a:solidFill>
              <a:round/>
            </a:ln>
            <a:effectLst/>
          </c:spPr>
          <c:marker>
            <c:symbol val="circle"/>
            <c:size val="5"/>
            <c:spPr>
              <a:solidFill>
                <a:schemeClr val="accent6">
                  <a:lumMod val="50000"/>
                  <a:alpha val="90000"/>
                </a:schemeClr>
              </a:solidFill>
              <a:ln w="22225">
                <a:solidFill>
                  <a:schemeClr val="bg1"/>
                </a:solidFill>
              </a:ln>
              <a:effectLst/>
            </c:spPr>
          </c:marker>
          <c:cat>
            <c:strRef>
              <c:f>'Average Study hours'!$A$4:$A$14</c:f>
              <c:strCache>
                <c:ptCount val="10"/>
                <c:pt idx="0">
                  <c:v>S087</c:v>
                </c:pt>
                <c:pt idx="1">
                  <c:v>S199</c:v>
                </c:pt>
                <c:pt idx="2">
                  <c:v>S097</c:v>
                </c:pt>
                <c:pt idx="3">
                  <c:v>S151</c:v>
                </c:pt>
                <c:pt idx="4">
                  <c:v>S061</c:v>
                </c:pt>
                <c:pt idx="5">
                  <c:v>S183</c:v>
                </c:pt>
                <c:pt idx="6">
                  <c:v>S034</c:v>
                </c:pt>
                <c:pt idx="7">
                  <c:v>S099</c:v>
                </c:pt>
                <c:pt idx="8">
                  <c:v>S025</c:v>
                </c:pt>
                <c:pt idx="9">
                  <c:v>S110</c:v>
                </c:pt>
              </c:strCache>
            </c:strRef>
          </c:cat>
          <c:val>
            <c:numRef>
              <c:f>'Average Study hours'!$B$4:$B$14</c:f>
              <c:numCache>
                <c:formatCode>General</c:formatCode>
                <c:ptCount val="10"/>
                <c:pt idx="0">
                  <c:v>12</c:v>
                </c:pt>
                <c:pt idx="1">
                  <c:v>12</c:v>
                </c:pt>
                <c:pt idx="2">
                  <c:v>12</c:v>
                </c:pt>
                <c:pt idx="3">
                  <c:v>11.9</c:v>
                </c:pt>
                <c:pt idx="4">
                  <c:v>11.9</c:v>
                </c:pt>
                <c:pt idx="5">
                  <c:v>11.8</c:v>
                </c:pt>
                <c:pt idx="6">
                  <c:v>11.7</c:v>
                </c:pt>
                <c:pt idx="7">
                  <c:v>11.7</c:v>
                </c:pt>
                <c:pt idx="8">
                  <c:v>11.5</c:v>
                </c:pt>
                <c:pt idx="9">
                  <c:v>11.5</c:v>
                </c:pt>
              </c:numCache>
            </c:numRef>
          </c:val>
          <c:smooth val="0"/>
          <c:extLst>
            <c:ext xmlns:c16="http://schemas.microsoft.com/office/drawing/2014/chart" uri="{C3380CC4-5D6E-409C-BE32-E72D297353CC}">
              <c16:uniqueId val="{00000000-818F-4D78-BC76-2EE20216E507}"/>
            </c:ext>
          </c:extLst>
        </c:ser>
        <c:dLbls>
          <c:showLegendKey val="0"/>
          <c:showVal val="0"/>
          <c:showCatName val="0"/>
          <c:showSerName val="0"/>
          <c:showPercent val="0"/>
          <c:showBubbleSize val="0"/>
        </c:dLbls>
        <c:marker val="1"/>
        <c:smooth val="0"/>
        <c:axId val="1841940544"/>
        <c:axId val="1841937632"/>
      </c:lineChart>
      <c:catAx>
        <c:axId val="184194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23A.xlsx]Attendance percent on previous!PivotTable1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80935596970499E-2"/>
          <c:y val="0.16933880449299216"/>
          <c:w val="0.88044194178410295"/>
          <c:h val="0.57238319441993657"/>
        </c:manualLayout>
      </c:layout>
      <c:barChart>
        <c:barDir val="col"/>
        <c:grouping val="clustered"/>
        <c:varyColors val="0"/>
        <c:ser>
          <c:idx val="0"/>
          <c:order val="0"/>
          <c:tx>
            <c:strRef>
              <c:f>'Attendance percent on previous'!$B$3:$B$4</c:f>
              <c:strCache>
                <c:ptCount val="1"/>
                <c:pt idx="0">
                  <c:v>A</c:v>
                </c:pt>
              </c:strCache>
            </c:strRef>
          </c:tx>
          <c:spPr>
            <a:solidFill>
              <a:schemeClr val="accent6">
                <a:lumMod val="5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previous'!$B$5:$B$10</c:f>
              <c:numCache>
                <c:formatCode>General</c:formatCode>
                <c:ptCount val="5"/>
                <c:pt idx="0">
                  <c:v>6</c:v>
                </c:pt>
                <c:pt idx="1">
                  <c:v>7</c:v>
                </c:pt>
                <c:pt idx="2">
                  <c:v>10</c:v>
                </c:pt>
                <c:pt idx="3">
                  <c:v>15</c:v>
                </c:pt>
                <c:pt idx="4">
                  <c:v>10</c:v>
                </c:pt>
              </c:numCache>
            </c:numRef>
          </c:val>
          <c:extLst>
            <c:ext xmlns:c16="http://schemas.microsoft.com/office/drawing/2014/chart" uri="{C3380CC4-5D6E-409C-BE32-E72D297353CC}">
              <c16:uniqueId val="{00000000-6401-4754-A9E3-8267B65ED198}"/>
            </c:ext>
          </c:extLst>
        </c:ser>
        <c:ser>
          <c:idx val="1"/>
          <c:order val="1"/>
          <c:tx>
            <c:strRef>
              <c:f>'Attendance percent on previous'!$C$3:$C$4</c:f>
              <c:strCache>
                <c:ptCount val="1"/>
                <c:pt idx="0">
                  <c:v>B</c:v>
                </c:pt>
              </c:strCache>
            </c:strRef>
          </c:tx>
          <c:spPr>
            <a:solidFill>
              <a:schemeClr val="accent6">
                <a:lumMod val="75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previous'!$C$5:$C$10</c:f>
              <c:numCache>
                <c:formatCode>General</c:formatCode>
                <c:ptCount val="5"/>
                <c:pt idx="0">
                  <c:v>15</c:v>
                </c:pt>
                <c:pt idx="1">
                  <c:v>16</c:v>
                </c:pt>
                <c:pt idx="2">
                  <c:v>12</c:v>
                </c:pt>
                <c:pt idx="3">
                  <c:v>16</c:v>
                </c:pt>
                <c:pt idx="4">
                  <c:v>9</c:v>
                </c:pt>
              </c:numCache>
            </c:numRef>
          </c:val>
          <c:extLst>
            <c:ext xmlns:c16="http://schemas.microsoft.com/office/drawing/2014/chart" uri="{C3380CC4-5D6E-409C-BE32-E72D297353CC}">
              <c16:uniqueId val="{00000001-6401-4754-A9E3-8267B65ED198}"/>
            </c:ext>
          </c:extLst>
        </c:ser>
        <c:ser>
          <c:idx val="2"/>
          <c:order val="2"/>
          <c:tx>
            <c:strRef>
              <c:f>'Attendance percent on previous'!$D$3:$D$4</c:f>
              <c:strCache>
                <c:ptCount val="1"/>
                <c:pt idx="0">
                  <c:v>C</c:v>
                </c:pt>
              </c:strCache>
            </c:strRef>
          </c:tx>
          <c:spPr>
            <a:solidFill>
              <a:schemeClr val="accent6">
                <a:lumMod val="60000"/>
                <a:lumOff val="4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previous'!$D$5:$D$10</c:f>
              <c:numCache>
                <c:formatCode>General</c:formatCode>
                <c:ptCount val="5"/>
                <c:pt idx="0">
                  <c:v>9</c:v>
                </c:pt>
                <c:pt idx="1">
                  <c:v>7</c:v>
                </c:pt>
                <c:pt idx="2">
                  <c:v>11</c:v>
                </c:pt>
                <c:pt idx="3">
                  <c:v>15</c:v>
                </c:pt>
                <c:pt idx="4">
                  <c:v>8</c:v>
                </c:pt>
              </c:numCache>
            </c:numRef>
          </c:val>
          <c:extLst>
            <c:ext xmlns:c16="http://schemas.microsoft.com/office/drawing/2014/chart" uri="{C3380CC4-5D6E-409C-BE32-E72D297353CC}">
              <c16:uniqueId val="{00000002-6401-4754-A9E3-8267B65ED198}"/>
            </c:ext>
          </c:extLst>
        </c:ser>
        <c:ser>
          <c:idx val="3"/>
          <c:order val="3"/>
          <c:tx>
            <c:strRef>
              <c:f>'Attendance percent on previous'!$E$3:$E$4</c:f>
              <c:strCache>
                <c:ptCount val="1"/>
                <c:pt idx="0">
                  <c:v>D</c:v>
                </c:pt>
              </c:strCache>
            </c:strRef>
          </c:tx>
          <c:spPr>
            <a:solidFill>
              <a:schemeClr val="accent6">
                <a:lumMod val="40000"/>
                <a:lumOff val="6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previous'!$E$5:$E$10</c:f>
              <c:numCache>
                <c:formatCode>General</c:formatCode>
                <c:ptCount val="5"/>
                <c:pt idx="0">
                  <c:v>1</c:v>
                </c:pt>
                <c:pt idx="1">
                  <c:v>8</c:v>
                </c:pt>
                <c:pt idx="3">
                  <c:v>1</c:v>
                </c:pt>
                <c:pt idx="4">
                  <c:v>4</c:v>
                </c:pt>
              </c:numCache>
            </c:numRef>
          </c:val>
          <c:extLst>
            <c:ext xmlns:c16="http://schemas.microsoft.com/office/drawing/2014/chart" uri="{C3380CC4-5D6E-409C-BE32-E72D297353CC}">
              <c16:uniqueId val="{00000003-6401-4754-A9E3-8267B65ED198}"/>
            </c:ext>
          </c:extLst>
        </c:ser>
        <c:ser>
          <c:idx val="4"/>
          <c:order val="4"/>
          <c:tx>
            <c:strRef>
              <c:f>'Attendance percent on previous'!$F$3:$F$4</c:f>
              <c:strCache>
                <c:ptCount val="1"/>
                <c:pt idx="0">
                  <c:v>E</c:v>
                </c:pt>
              </c:strCache>
            </c:strRef>
          </c:tx>
          <c:spPr>
            <a:solidFill>
              <a:schemeClr val="accent6">
                <a:lumMod val="20000"/>
                <a:lumOff val="8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previous'!$F$5:$F$10</c:f>
              <c:numCache>
                <c:formatCode>General</c:formatCode>
                <c:ptCount val="5"/>
                <c:pt idx="0">
                  <c:v>6</c:v>
                </c:pt>
                <c:pt idx="1">
                  <c:v>3</c:v>
                </c:pt>
                <c:pt idx="2">
                  <c:v>2</c:v>
                </c:pt>
                <c:pt idx="3">
                  <c:v>3</c:v>
                </c:pt>
                <c:pt idx="4">
                  <c:v>3</c:v>
                </c:pt>
              </c:numCache>
            </c:numRef>
          </c:val>
          <c:extLst>
            <c:ext xmlns:c16="http://schemas.microsoft.com/office/drawing/2014/chart" uri="{C3380CC4-5D6E-409C-BE32-E72D297353CC}">
              <c16:uniqueId val="{00000004-6401-4754-A9E3-8267B65ED198}"/>
            </c:ext>
          </c:extLst>
        </c:ser>
        <c:ser>
          <c:idx val="5"/>
          <c:order val="5"/>
          <c:tx>
            <c:strRef>
              <c:f>'Attendance percent on previous'!$G$3:$G$4</c:f>
              <c:strCache>
                <c:ptCount val="1"/>
                <c:pt idx="0">
                  <c:v>F</c:v>
                </c:pt>
              </c:strCache>
            </c:strRef>
          </c:tx>
          <c:spPr>
            <a:solidFill>
              <a:schemeClr val="accent4">
                <a:lumMod val="20000"/>
                <a:lumOff val="80000"/>
              </a:schemeClr>
            </a:solidFill>
            <a:ln>
              <a:noFill/>
            </a:ln>
            <a:effectLst/>
          </c:spPr>
          <c:invertIfNegative val="0"/>
          <c:cat>
            <c:strRef>
              <c:f>'Attendance percent on previous'!$A$5:$A$10</c:f>
              <c:strCache>
                <c:ptCount val="5"/>
                <c:pt idx="0">
                  <c:v>50-60</c:v>
                </c:pt>
                <c:pt idx="1">
                  <c:v>60-70</c:v>
                </c:pt>
                <c:pt idx="2">
                  <c:v>70-80</c:v>
                </c:pt>
                <c:pt idx="3">
                  <c:v>80-90</c:v>
                </c:pt>
                <c:pt idx="4">
                  <c:v>90-100</c:v>
                </c:pt>
              </c:strCache>
            </c:strRef>
          </c:cat>
          <c:val>
            <c:numRef>
              <c:f>'Attendance percent on previous'!$G$5:$G$10</c:f>
              <c:numCache>
                <c:formatCode>General</c:formatCode>
                <c:ptCount val="5"/>
                <c:pt idx="2">
                  <c:v>1</c:v>
                </c:pt>
                <c:pt idx="3">
                  <c:v>1</c:v>
                </c:pt>
                <c:pt idx="4">
                  <c:v>1</c:v>
                </c:pt>
              </c:numCache>
            </c:numRef>
          </c:val>
          <c:extLst>
            <c:ext xmlns:c16="http://schemas.microsoft.com/office/drawing/2014/chart" uri="{C3380CC4-5D6E-409C-BE32-E72D297353CC}">
              <c16:uniqueId val="{00000018-6401-4754-A9E3-8267B65ED198}"/>
            </c:ext>
          </c:extLst>
        </c:ser>
        <c:dLbls>
          <c:showLegendKey val="0"/>
          <c:showVal val="0"/>
          <c:showCatName val="0"/>
          <c:showSerName val="0"/>
          <c:showPercent val="0"/>
          <c:showBubbleSize val="0"/>
        </c:dLbls>
        <c:gapWidth val="20"/>
        <c:axId val="1841940544"/>
        <c:axId val="1841937632"/>
      </c:barChart>
      <c:catAx>
        <c:axId val="184194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37632"/>
        <c:crosses val="autoZero"/>
        <c:auto val="1"/>
        <c:lblAlgn val="ctr"/>
        <c:lblOffset val="100"/>
        <c:noMultiLvlLbl val="0"/>
      </c:catAx>
      <c:valAx>
        <c:axId val="1841937632"/>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Georgia" panose="02040502050405020303" pitchFamily="18" charset="0"/>
                <a:ea typeface="+mn-ea"/>
                <a:cs typeface="+mn-cs"/>
              </a:defRPr>
            </a:pPr>
            <a:endParaRPr lang="en-NG"/>
          </a:p>
        </c:txPr>
        <c:crossAx val="1841940544"/>
        <c:crosses val="autoZero"/>
        <c:crossBetween val="between"/>
      </c:valAx>
      <c:spPr>
        <a:noFill/>
        <a:ln>
          <a:noFill/>
        </a:ln>
        <a:effectLst/>
      </c:spPr>
    </c:plotArea>
    <c:legend>
      <c:legendPos val="t"/>
      <c:layout>
        <c:manualLayout>
          <c:xMode val="edge"/>
          <c:yMode val="edge"/>
          <c:x val="0.29282194580164705"/>
          <c:y val="2.0571762221827848E-2"/>
          <c:w val="0.43426876901145078"/>
          <c:h val="0.1491593870829156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23A.xlsx]Student performance by exam!PivotTable1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5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20000"/>
              <a:lumOff val="8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noFill/>
          </a:ln>
          <a:effectLst/>
        </c:spPr>
      </c:pivotFmt>
      <c:pivotFmt>
        <c:idx val="13"/>
        <c:spPr>
          <a:solidFill>
            <a:schemeClr val="accent6">
              <a:lumMod val="50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60000"/>
              <a:lumOff val="40000"/>
            </a:schemeClr>
          </a:solidFill>
          <a:ln>
            <a:noFill/>
          </a:ln>
          <a:effectLst/>
        </c:spPr>
      </c:pivotFmt>
      <c:pivotFmt>
        <c:idx val="17"/>
        <c:spPr>
          <a:solidFill>
            <a:schemeClr val="accent6">
              <a:lumMod val="60000"/>
              <a:lumOff val="4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chemeClr val="accent6">
              <a:lumMod val="20000"/>
              <a:lumOff val="80000"/>
            </a:schemeClr>
          </a:solidFill>
          <a:ln>
            <a:noFill/>
          </a:ln>
          <a:effectLst/>
        </c:spPr>
      </c:pivotFmt>
      <c:pivotFmt>
        <c:idx val="21"/>
        <c:spPr>
          <a:solidFill>
            <a:schemeClr val="accent6">
              <a:lumMod val="20000"/>
              <a:lumOff val="80000"/>
            </a:schemeClr>
          </a:solidFill>
          <a:ln>
            <a:noFill/>
          </a:ln>
          <a:effectLst/>
        </c:spPr>
      </c:pivotFmt>
      <c:pivotFmt>
        <c:idx val="22"/>
        <c:spPr>
          <a:solidFill>
            <a:schemeClr val="accent6">
              <a:lumMod val="50000"/>
            </a:schemeClr>
          </a:solidFill>
          <a:ln>
            <a:noFill/>
          </a:ln>
          <a:effectLst/>
        </c:spPr>
      </c:pivotFmt>
      <c:pivotFmt>
        <c:idx val="23"/>
        <c:spPr>
          <a:solidFill>
            <a:schemeClr val="accent6">
              <a:lumMod val="50000"/>
            </a:schemeClr>
          </a:solidFill>
          <a:ln>
            <a:noFill/>
          </a:ln>
          <a:effectLst/>
        </c:spPr>
      </c:pivotFmt>
      <c:pivotFmt>
        <c:idx val="24"/>
        <c:spPr>
          <a:solidFill>
            <a:schemeClr val="accent6">
              <a:lumMod val="75000"/>
            </a:schemeClr>
          </a:solidFill>
          <a:ln>
            <a:noFill/>
          </a:ln>
          <a:effectLst/>
        </c:spPr>
      </c:pivotFmt>
      <c:pivotFmt>
        <c:idx val="25"/>
        <c:spPr>
          <a:solidFill>
            <a:schemeClr val="accent6">
              <a:lumMod val="75000"/>
            </a:schemeClr>
          </a:solidFill>
          <a:ln>
            <a:noFill/>
          </a:ln>
          <a:effectLst/>
        </c:spPr>
      </c:pivotFmt>
      <c:pivotFmt>
        <c:idx val="26"/>
        <c:spPr>
          <a:solidFill>
            <a:schemeClr val="accent6">
              <a:lumMod val="60000"/>
              <a:lumOff val="40000"/>
            </a:schemeClr>
          </a:solidFill>
          <a:ln>
            <a:noFill/>
          </a:ln>
          <a:effectLst/>
        </c:spPr>
      </c:pivotFmt>
      <c:pivotFmt>
        <c:idx val="27"/>
        <c:spPr>
          <a:solidFill>
            <a:schemeClr val="accent6">
              <a:lumMod val="60000"/>
              <a:lumOff val="40000"/>
            </a:schemeClr>
          </a:solidFill>
          <a:ln>
            <a:noFill/>
          </a:ln>
          <a:effectLst/>
        </c:spPr>
      </c:pivotFmt>
      <c:pivotFmt>
        <c:idx val="28"/>
        <c:spPr>
          <a:solidFill>
            <a:schemeClr val="accent6">
              <a:lumMod val="40000"/>
              <a:lumOff val="60000"/>
            </a:schemeClr>
          </a:solidFill>
          <a:ln>
            <a:noFill/>
          </a:ln>
          <a:effectLst/>
        </c:spPr>
      </c:pivotFmt>
      <c:pivotFmt>
        <c:idx val="29"/>
        <c:spPr>
          <a:solidFill>
            <a:schemeClr val="accent6">
              <a:lumMod val="40000"/>
              <a:lumOff val="60000"/>
            </a:schemeClr>
          </a:solidFill>
          <a:ln>
            <a:noFill/>
          </a:ln>
          <a:effectLst/>
        </c:spPr>
      </c:pivotFmt>
      <c:pivotFmt>
        <c:idx val="30"/>
        <c:spPr>
          <a:solidFill>
            <a:schemeClr val="accent6">
              <a:lumMod val="20000"/>
              <a:lumOff val="80000"/>
            </a:schemeClr>
          </a:solidFill>
          <a:ln>
            <a:noFill/>
          </a:ln>
          <a:effectLst/>
        </c:spPr>
      </c:pivotFmt>
      <c:pivotFmt>
        <c:idx val="31"/>
        <c:spPr>
          <a:solidFill>
            <a:schemeClr val="accent6">
              <a:lumMod val="20000"/>
              <a:lumOff val="80000"/>
            </a:schemeClr>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lumMod val="50000"/>
            </a:schemeClr>
          </a:solidFill>
          <a:ln>
            <a:noFill/>
          </a:ln>
          <a:effectLst/>
        </c:spPr>
      </c:pivotFmt>
      <c:pivotFmt>
        <c:idx val="34"/>
        <c:spPr>
          <a:solidFill>
            <a:schemeClr val="accent6">
              <a:lumMod val="50000"/>
            </a:schemeClr>
          </a:solidFill>
          <a:ln>
            <a:noFill/>
          </a:ln>
          <a:effectLst/>
        </c:spPr>
      </c:pivotFmt>
      <c:pivotFmt>
        <c:idx val="35"/>
        <c:spPr>
          <a:solidFill>
            <a:schemeClr val="accent6">
              <a:lumMod val="75000"/>
            </a:schemeClr>
          </a:solidFill>
          <a:ln>
            <a:noFill/>
          </a:ln>
          <a:effectLst/>
        </c:spPr>
      </c:pivotFmt>
      <c:pivotFmt>
        <c:idx val="36"/>
        <c:spPr>
          <a:solidFill>
            <a:schemeClr val="accent6">
              <a:lumMod val="75000"/>
            </a:schemeClr>
          </a:solidFill>
          <a:ln>
            <a:noFill/>
          </a:ln>
          <a:effectLst/>
        </c:spPr>
      </c:pivotFmt>
      <c:pivotFmt>
        <c:idx val="37"/>
        <c:spPr>
          <a:solidFill>
            <a:schemeClr val="accent6">
              <a:lumMod val="60000"/>
              <a:lumOff val="40000"/>
            </a:schemeClr>
          </a:solidFill>
          <a:ln>
            <a:noFill/>
          </a:ln>
          <a:effectLst/>
        </c:spPr>
      </c:pivotFmt>
      <c:pivotFmt>
        <c:idx val="38"/>
        <c:spPr>
          <a:solidFill>
            <a:schemeClr val="accent6">
              <a:lumMod val="60000"/>
              <a:lumOff val="40000"/>
            </a:schemeClr>
          </a:solidFill>
          <a:ln>
            <a:noFill/>
          </a:ln>
          <a:effectLst/>
        </c:spPr>
      </c:pivotFmt>
      <c:pivotFmt>
        <c:idx val="39"/>
        <c:spPr>
          <a:solidFill>
            <a:schemeClr val="accent6">
              <a:lumMod val="40000"/>
              <a:lumOff val="60000"/>
            </a:schemeClr>
          </a:solidFill>
          <a:ln>
            <a:noFill/>
          </a:ln>
          <a:effectLst/>
        </c:spPr>
      </c:pivotFmt>
      <c:pivotFmt>
        <c:idx val="40"/>
        <c:spPr>
          <a:solidFill>
            <a:schemeClr val="accent6">
              <a:lumMod val="40000"/>
              <a:lumOff val="60000"/>
            </a:schemeClr>
          </a:solidFill>
          <a:ln>
            <a:noFill/>
          </a:ln>
          <a:effectLst/>
        </c:spPr>
      </c:pivotFmt>
      <c:pivotFmt>
        <c:idx val="41"/>
        <c:spPr>
          <a:solidFill>
            <a:schemeClr val="accent6">
              <a:lumMod val="20000"/>
              <a:lumOff val="80000"/>
            </a:schemeClr>
          </a:solidFill>
          <a:ln>
            <a:noFill/>
          </a:ln>
          <a:effectLst/>
        </c:spPr>
      </c:pivotFmt>
      <c:pivotFmt>
        <c:idx val="42"/>
        <c:spPr>
          <a:solidFill>
            <a:schemeClr val="accent6">
              <a:lumMod val="20000"/>
              <a:lumOff val="80000"/>
            </a:schemeClr>
          </a:solidFill>
          <a:ln>
            <a:noFill/>
          </a:ln>
          <a:effectLst/>
        </c:spPr>
      </c:pivotFmt>
      <c:pivotFmt>
        <c:idx val="43"/>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6">
              <a:lumMod val="50000"/>
            </a:schemeClr>
          </a:solidFill>
          <a:ln>
            <a:noFill/>
          </a:ln>
          <a:effectLst/>
        </c:spPr>
        <c:dLbl>
          <c:idx val="0"/>
          <c:layout>
            <c:manualLayout>
              <c:x val="3.0769230769230771E-2"/>
              <c:y val="-0.14304635761589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6">
              <a:lumMod val="75000"/>
            </a:schemeClr>
          </a:solidFill>
          <a:ln>
            <a:noFill/>
          </a:ln>
          <a:effectLst/>
        </c:spPr>
        <c:dLbl>
          <c:idx val="0"/>
          <c:layout>
            <c:manualLayout>
              <c:x val="0.22857142857142848"/>
              <c:y val="-0.1165562913907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pivotFmt>
      <c:pivotFmt>
        <c:idx val="73"/>
        <c:spPr>
          <a:solidFill>
            <a:schemeClr val="accent6">
              <a:lumMod val="40000"/>
              <a:lumOff val="60000"/>
            </a:schemeClr>
          </a:solidFill>
          <a:ln>
            <a:noFill/>
          </a:ln>
          <a:effectLst/>
        </c:spPr>
      </c:pivotFmt>
      <c:pivotFmt>
        <c:idx val="74"/>
        <c:spPr>
          <a:solidFill>
            <a:schemeClr val="accent6">
              <a:lumMod val="20000"/>
              <a:lumOff val="80000"/>
            </a:schemeClr>
          </a:solidFill>
          <a:ln>
            <a:noFill/>
          </a:ln>
          <a:effectLst/>
        </c:spPr>
        <c:dLbl>
          <c:idx val="0"/>
          <c:layout>
            <c:manualLayout>
              <c:x val="-2.2521957951132397E-2"/>
              <c:y val="3.7086092715231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4">
              <a:lumMod val="20000"/>
              <a:lumOff val="80000"/>
            </a:schemeClr>
          </a:solidFill>
          <a:ln>
            <a:noFill/>
          </a:ln>
          <a:effectLst/>
        </c:spPr>
        <c:dLbl>
          <c:idx val="0"/>
          <c:layout>
            <c:manualLayout>
              <c:x val="-0.20659340659340658"/>
              <c:y val="-9.5364238410596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lumMod val="50000"/>
            </a:schemeClr>
          </a:solidFill>
          <a:ln>
            <a:noFill/>
          </a:ln>
          <a:effectLst/>
        </c:spPr>
        <c:dLbl>
          <c:idx val="0"/>
          <c:layout>
            <c:manualLayout>
              <c:x val="3.0769230769230771E-2"/>
              <c:y val="-0.143046357615894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lumMod val="75000"/>
            </a:schemeClr>
          </a:solidFill>
          <a:ln>
            <a:noFill/>
          </a:ln>
          <a:effectLst/>
        </c:spPr>
        <c:dLbl>
          <c:idx val="0"/>
          <c:layout>
            <c:manualLayout>
              <c:x val="0.22857142857142848"/>
              <c:y val="-0.1165562913907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lumMod val="60000"/>
              <a:lumOff val="40000"/>
            </a:schemeClr>
          </a:solidFill>
          <a:ln>
            <a:noFill/>
          </a:ln>
          <a:effectLst/>
        </c:spPr>
      </c:pivotFmt>
      <c:pivotFmt>
        <c:idx val="80"/>
        <c:spPr>
          <a:solidFill>
            <a:schemeClr val="accent6">
              <a:lumMod val="40000"/>
              <a:lumOff val="60000"/>
            </a:schemeClr>
          </a:solidFill>
          <a:ln>
            <a:noFill/>
          </a:ln>
          <a:effectLst/>
        </c:spPr>
      </c:pivotFmt>
      <c:pivotFmt>
        <c:idx val="81"/>
        <c:spPr>
          <a:solidFill>
            <a:schemeClr val="accent6">
              <a:lumMod val="20000"/>
              <a:lumOff val="80000"/>
            </a:schemeClr>
          </a:solidFill>
          <a:ln>
            <a:noFill/>
          </a:ln>
          <a:effectLst/>
        </c:spPr>
        <c:dLbl>
          <c:idx val="0"/>
          <c:layout>
            <c:manualLayout>
              <c:x val="-2.2521957951132397E-2"/>
              <c:y val="3.7086092715231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4">
              <a:lumMod val="20000"/>
              <a:lumOff val="80000"/>
            </a:schemeClr>
          </a:solidFill>
          <a:ln>
            <a:noFill/>
          </a:ln>
          <a:effectLst/>
        </c:spPr>
        <c:dLbl>
          <c:idx val="0"/>
          <c:layout>
            <c:manualLayout>
              <c:x val="-0.20659340659340658"/>
              <c:y val="-9.53642384105960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6">
              <a:lumMod val="50000"/>
            </a:schemeClr>
          </a:solidFill>
          <a:ln>
            <a:noFill/>
          </a:ln>
          <a:effectLst/>
        </c:spPr>
        <c:dLbl>
          <c:idx val="0"/>
          <c:layout>
            <c:manualLayout>
              <c:x val="0.17674862071605676"/>
              <c:y val="-5.575814899036815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6">
              <a:lumMod val="75000"/>
            </a:schemeClr>
          </a:solidFill>
          <a:ln>
            <a:noFill/>
          </a:ln>
          <a:effectLst/>
        </c:spPr>
        <c:dLbl>
          <c:idx val="0"/>
          <c:layout>
            <c:manualLayout>
              <c:x val="0.28795283461626214"/>
              <c:y val="5.3526635619969176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6">
              <a:lumMod val="60000"/>
              <a:lumOff val="40000"/>
            </a:schemeClr>
          </a:solidFill>
          <a:ln>
            <a:noFill/>
          </a:ln>
          <a:effectLst/>
        </c:spPr>
        <c:dLbl>
          <c:idx val="0"/>
          <c:layout>
            <c:manualLayout>
              <c:x val="0.15506960192477912"/>
              <c:y val="0.1014655784017333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6">
              <a:lumMod val="40000"/>
              <a:lumOff val="60000"/>
            </a:schemeClr>
          </a:solidFill>
          <a:ln>
            <a:noFill/>
          </a:ln>
          <a:effectLst/>
        </c:spPr>
      </c:pivotFmt>
      <c:pivotFmt>
        <c:idx val="88"/>
        <c:spPr>
          <a:solidFill>
            <a:schemeClr val="accent6">
              <a:lumMod val="20000"/>
              <a:lumOff val="80000"/>
            </a:schemeClr>
          </a:solidFill>
          <a:ln>
            <a:noFill/>
          </a:ln>
          <a:effectLst/>
        </c:spPr>
        <c:dLbl>
          <c:idx val="0"/>
          <c:layout>
            <c:manualLayout>
              <c:x val="-2.2521957951132397E-2"/>
              <c:y val="3.7086092715231792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4">
              <a:lumMod val="20000"/>
              <a:lumOff val="80000"/>
            </a:schemeClr>
          </a:solidFill>
          <a:ln>
            <a:noFill/>
          </a:ln>
          <a:effectLst/>
        </c:spPr>
        <c:dLbl>
          <c:idx val="0"/>
          <c:layout>
            <c:manualLayout>
              <c:x val="-0.20659340659340658"/>
              <c:y val="-9.5364238410596047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02747058303106"/>
          <c:y val="2.2580765685466145E-2"/>
          <c:w val="0.36699814160252348"/>
          <c:h val="0.9641422415756532"/>
        </c:manualLayout>
      </c:layout>
      <c:doughnutChart>
        <c:varyColors val="1"/>
        <c:ser>
          <c:idx val="0"/>
          <c:order val="0"/>
          <c:tx>
            <c:strRef>
              <c:f>'Student performance by exam'!$B$3</c:f>
              <c:strCache>
                <c:ptCount val="1"/>
                <c:pt idx="0">
                  <c:v>Total</c:v>
                </c:pt>
              </c:strCache>
            </c:strRef>
          </c:tx>
          <c:spPr>
            <a:ln>
              <a:noFill/>
            </a:ln>
          </c:spPr>
          <c:dPt>
            <c:idx val="0"/>
            <c:bubble3D val="0"/>
            <c:spPr>
              <a:solidFill>
                <a:schemeClr val="accent6">
                  <a:lumMod val="50000"/>
                </a:schemeClr>
              </a:solidFill>
              <a:ln>
                <a:noFill/>
              </a:ln>
              <a:effectLst/>
            </c:spPr>
            <c:extLst>
              <c:ext xmlns:c16="http://schemas.microsoft.com/office/drawing/2014/chart" uri="{C3380CC4-5D6E-409C-BE32-E72D297353CC}">
                <c16:uniqueId val="{00000001-12BC-4DFD-AF2F-F5C34617F9FF}"/>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12BC-4DFD-AF2F-F5C34617F9FF}"/>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12BC-4DFD-AF2F-F5C34617F9FF}"/>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12BC-4DFD-AF2F-F5C34617F9FF}"/>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09-12BC-4DFD-AF2F-F5C34617F9FF}"/>
              </c:ext>
            </c:extLst>
          </c:dPt>
          <c:dPt>
            <c:idx val="5"/>
            <c:bubble3D val="0"/>
            <c:spPr>
              <a:solidFill>
                <a:schemeClr val="accent4">
                  <a:lumMod val="20000"/>
                  <a:lumOff val="80000"/>
                </a:schemeClr>
              </a:solidFill>
              <a:ln>
                <a:noFill/>
              </a:ln>
              <a:effectLst/>
            </c:spPr>
            <c:extLst>
              <c:ext xmlns:c16="http://schemas.microsoft.com/office/drawing/2014/chart" uri="{C3380CC4-5D6E-409C-BE32-E72D297353CC}">
                <c16:uniqueId val="{0000000B-12BC-4DFD-AF2F-F5C34617F9FF}"/>
              </c:ext>
            </c:extLst>
          </c:dPt>
          <c:dLbls>
            <c:dLbl>
              <c:idx val="0"/>
              <c:layout>
                <c:manualLayout>
                  <c:x val="0.17674862071605676"/>
                  <c:y val="-5.57581489903681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BC-4DFD-AF2F-F5C34617F9FF}"/>
                </c:ext>
              </c:extLst>
            </c:dLbl>
            <c:dLbl>
              <c:idx val="1"/>
              <c:layout>
                <c:manualLayout>
                  <c:x val="0.28795283461626214"/>
                  <c:y val="5.35266356199691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BC-4DFD-AF2F-F5C34617F9FF}"/>
                </c:ext>
              </c:extLst>
            </c:dLbl>
            <c:dLbl>
              <c:idx val="2"/>
              <c:layout>
                <c:manualLayout>
                  <c:x val="0.15506960192477912"/>
                  <c:y val="0.101465578401733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BC-4DFD-AF2F-F5C34617F9FF}"/>
                </c:ext>
              </c:extLst>
            </c:dLbl>
            <c:dLbl>
              <c:idx val="4"/>
              <c:layout>
                <c:manualLayout>
                  <c:x val="-2.2521957951132397E-2"/>
                  <c:y val="3.7086092715231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BC-4DFD-AF2F-F5C34617F9FF}"/>
                </c:ext>
              </c:extLst>
            </c:dLbl>
            <c:dLbl>
              <c:idx val="5"/>
              <c:layout>
                <c:manualLayout>
                  <c:x val="-0.20659340659340658"/>
                  <c:y val="-9.53642384105960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2BC-4DFD-AF2F-F5C34617F9FF}"/>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Georgia" panose="02040502050405020303" pitchFamily="18" charset="0"/>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 performance by exam'!$A$4:$A$10</c:f>
              <c:strCache>
                <c:ptCount val="6"/>
                <c:pt idx="0">
                  <c:v>A</c:v>
                </c:pt>
                <c:pt idx="1">
                  <c:v>B</c:v>
                </c:pt>
                <c:pt idx="2">
                  <c:v>C</c:v>
                </c:pt>
                <c:pt idx="3">
                  <c:v>D</c:v>
                </c:pt>
                <c:pt idx="4">
                  <c:v>E</c:v>
                </c:pt>
                <c:pt idx="5">
                  <c:v>F</c:v>
                </c:pt>
              </c:strCache>
            </c:strRef>
          </c:cat>
          <c:val>
            <c:numRef>
              <c:f>'Student performance by exam'!$B$4:$B$10</c:f>
              <c:numCache>
                <c:formatCode>0.0%</c:formatCode>
                <c:ptCount val="6"/>
                <c:pt idx="0">
                  <c:v>5.0000000000000001E-3</c:v>
                </c:pt>
                <c:pt idx="1">
                  <c:v>5.5E-2</c:v>
                </c:pt>
                <c:pt idx="2">
                  <c:v>0.13</c:v>
                </c:pt>
                <c:pt idx="3">
                  <c:v>0.52</c:v>
                </c:pt>
                <c:pt idx="4">
                  <c:v>0.27</c:v>
                </c:pt>
                <c:pt idx="5">
                  <c:v>0.02</c:v>
                </c:pt>
              </c:numCache>
            </c:numRef>
          </c:val>
          <c:extLst>
            <c:ext xmlns:c16="http://schemas.microsoft.com/office/drawing/2014/chart" uri="{C3380CC4-5D6E-409C-BE32-E72D297353CC}">
              <c16:uniqueId val="{0000000C-12BC-4DFD-AF2F-F5C34617F9F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88651269908507979"/>
          <c:y val="8.391922381229347E-2"/>
          <c:w val="9.9173181125273888E-2"/>
          <c:h val="0.8321615523754130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Georgia" panose="02040502050405020303" pitchFamily="18" charset="0"/>
              </a:rPr>
              <a:t>Relationship between Hours</a:t>
            </a:r>
            <a:r>
              <a:rPr lang="en-US" sz="1100" baseline="0">
                <a:latin typeface="Georgia" panose="02040502050405020303" pitchFamily="18" charset="0"/>
              </a:rPr>
              <a:t> Studied and Exam Scores</a:t>
            </a:r>
            <a:endParaRPr lang="en-US" sz="1100">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student_exam_scores!$H$1</c:f>
              <c:strCache>
                <c:ptCount val="1"/>
                <c:pt idx="0">
                  <c:v>Exam score</c:v>
                </c:pt>
              </c:strCache>
            </c:strRef>
          </c:tx>
          <c:spPr>
            <a:ln w="19050" cap="rnd">
              <a:noFill/>
              <a:round/>
            </a:ln>
            <a:effectLst/>
          </c:spPr>
          <c:marker>
            <c:symbol val="circle"/>
            <c:size val="5"/>
            <c:spPr>
              <a:solidFill>
                <a:schemeClr val="accent6">
                  <a:lumMod val="50000"/>
                </a:schemeClr>
              </a:solidFill>
              <a:ln w="9525">
                <a:noFill/>
              </a:ln>
              <a:effectLst/>
            </c:spPr>
          </c:marker>
          <c:trendline>
            <c:spPr>
              <a:ln w="19050" cap="rnd">
                <a:solidFill>
                  <a:schemeClr val="accent6">
                    <a:lumMod val="50000"/>
                  </a:schemeClr>
                </a:solidFill>
                <a:prstDash val="sysDot"/>
              </a:ln>
              <a:effectLst/>
            </c:spPr>
            <c:trendlineType val="linear"/>
            <c:dispRSqr val="0"/>
            <c:dispEq val="0"/>
          </c:trendline>
          <c:xVal>
            <c:numRef>
              <c:f>student_exam_scores!$B$2:$B$201</c:f>
              <c:numCache>
                <c:formatCode>General</c:formatCode>
                <c:ptCount val="200"/>
                <c:pt idx="0">
                  <c:v>8</c:v>
                </c:pt>
                <c:pt idx="1">
                  <c:v>1.3</c:v>
                </c:pt>
                <c:pt idx="2">
                  <c:v>4</c:v>
                </c:pt>
                <c:pt idx="3">
                  <c:v>3.5</c:v>
                </c:pt>
                <c:pt idx="4">
                  <c:v>9.1</c:v>
                </c:pt>
                <c:pt idx="5">
                  <c:v>8.4</c:v>
                </c:pt>
                <c:pt idx="6">
                  <c:v>10.8</c:v>
                </c:pt>
                <c:pt idx="7">
                  <c:v>2</c:v>
                </c:pt>
                <c:pt idx="8">
                  <c:v>5.6</c:v>
                </c:pt>
                <c:pt idx="9">
                  <c:v>1.3</c:v>
                </c:pt>
                <c:pt idx="10">
                  <c:v>3.4</c:v>
                </c:pt>
                <c:pt idx="11">
                  <c:v>6.6</c:v>
                </c:pt>
                <c:pt idx="12">
                  <c:v>1.3</c:v>
                </c:pt>
                <c:pt idx="13">
                  <c:v>3.2</c:v>
                </c:pt>
                <c:pt idx="14">
                  <c:v>8.1</c:v>
                </c:pt>
                <c:pt idx="15">
                  <c:v>7</c:v>
                </c:pt>
                <c:pt idx="16">
                  <c:v>3.4</c:v>
                </c:pt>
                <c:pt idx="17">
                  <c:v>7.5</c:v>
                </c:pt>
                <c:pt idx="18">
                  <c:v>9.9</c:v>
                </c:pt>
                <c:pt idx="19">
                  <c:v>1.1000000000000001</c:v>
                </c:pt>
                <c:pt idx="20">
                  <c:v>9.9</c:v>
                </c:pt>
                <c:pt idx="21">
                  <c:v>8.6999999999999993</c:v>
                </c:pt>
                <c:pt idx="22">
                  <c:v>4.7</c:v>
                </c:pt>
                <c:pt idx="23">
                  <c:v>2.7</c:v>
                </c:pt>
                <c:pt idx="24">
                  <c:v>11.5</c:v>
                </c:pt>
                <c:pt idx="25">
                  <c:v>4.7</c:v>
                </c:pt>
                <c:pt idx="26">
                  <c:v>2</c:v>
                </c:pt>
                <c:pt idx="27">
                  <c:v>2.1</c:v>
                </c:pt>
                <c:pt idx="28">
                  <c:v>10.3</c:v>
                </c:pt>
                <c:pt idx="29">
                  <c:v>7.6</c:v>
                </c:pt>
                <c:pt idx="30">
                  <c:v>9.9</c:v>
                </c:pt>
                <c:pt idx="31">
                  <c:v>9</c:v>
                </c:pt>
                <c:pt idx="32">
                  <c:v>6.9</c:v>
                </c:pt>
                <c:pt idx="33">
                  <c:v>11.7</c:v>
                </c:pt>
                <c:pt idx="34">
                  <c:v>5.2</c:v>
                </c:pt>
                <c:pt idx="35">
                  <c:v>7.1</c:v>
                </c:pt>
                <c:pt idx="36">
                  <c:v>10.1</c:v>
                </c:pt>
                <c:pt idx="37">
                  <c:v>7.8</c:v>
                </c:pt>
                <c:pt idx="38">
                  <c:v>10.5</c:v>
                </c:pt>
                <c:pt idx="39">
                  <c:v>7.4</c:v>
                </c:pt>
                <c:pt idx="40">
                  <c:v>8.8000000000000007</c:v>
                </c:pt>
                <c:pt idx="41">
                  <c:v>1.5</c:v>
                </c:pt>
                <c:pt idx="42">
                  <c:v>3.5</c:v>
                </c:pt>
                <c:pt idx="43">
                  <c:v>4.2</c:v>
                </c:pt>
                <c:pt idx="44">
                  <c:v>1.9</c:v>
                </c:pt>
                <c:pt idx="45">
                  <c:v>3.6</c:v>
                </c:pt>
                <c:pt idx="46">
                  <c:v>2.1</c:v>
                </c:pt>
                <c:pt idx="47">
                  <c:v>4.0999999999999996</c:v>
                </c:pt>
                <c:pt idx="48">
                  <c:v>8</c:v>
                </c:pt>
                <c:pt idx="49">
                  <c:v>5</c:v>
                </c:pt>
                <c:pt idx="50">
                  <c:v>5.0999999999999996</c:v>
                </c:pt>
                <c:pt idx="51">
                  <c:v>3.3</c:v>
                </c:pt>
                <c:pt idx="52">
                  <c:v>3.9</c:v>
                </c:pt>
                <c:pt idx="53">
                  <c:v>11.3</c:v>
                </c:pt>
                <c:pt idx="54">
                  <c:v>8.1</c:v>
                </c:pt>
                <c:pt idx="55">
                  <c:v>7.7</c:v>
                </c:pt>
                <c:pt idx="56">
                  <c:v>2.9</c:v>
                </c:pt>
                <c:pt idx="57">
                  <c:v>9</c:v>
                </c:pt>
                <c:pt idx="58">
                  <c:v>2.8</c:v>
                </c:pt>
                <c:pt idx="59">
                  <c:v>5.2</c:v>
                </c:pt>
                <c:pt idx="60">
                  <c:v>11.9</c:v>
                </c:pt>
                <c:pt idx="61">
                  <c:v>8</c:v>
                </c:pt>
                <c:pt idx="62">
                  <c:v>7.1</c:v>
                </c:pt>
                <c:pt idx="63">
                  <c:v>8.5</c:v>
                </c:pt>
                <c:pt idx="64">
                  <c:v>10.3</c:v>
                </c:pt>
                <c:pt idx="65">
                  <c:v>9.5</c:v>
                </c:pt>
                <c:pt idx="66">
                  <c:v>3.5</c:v>
                </c:pt>
                <c:pt idx="67">
                  <c:v>1.4</c:v>
                </c:pt>
                <c:pt idx="68">
                  <c:v>4.5</c:v>
                </c:pt>
                <c:pt idx="69">
                  <c:v>3.9</c:v>
                </c:pt>
                <c:pt idx="70">
                  <c:v>3.3</c:v>
                </c:pt>
                <c:pt idx="71">
                  <c:v>11.4</c:v>
                </c:pt>
                <c:pt idx="72">
                  <c:v>10.6</c:v>
                </c:pt>
                <c:pt idx="73">
                  <c:v>4.5</c:v>
                </c:pt>
                <c:pt idx="74">
                  <c:v>8.1999999999999993</c:v>
                </c:pt>
                <c:pt idx="75">
                  <c:v>5.4</c:v>
                </c:pt>
                <c:pt idx="76">
                  <c:v>11.1</c:v>
                </c:pt>
                <c:pt idx="77">
                  <c:v>6</c:v>
                </c:pt>
                <c:pt idx="78">
                  <c:v>3.9</c:v>
                </c:pt>
                <c:pt idx="79">
                  <c:v>3.7</c:v>
                </c:pt>
                <c:pt idx="80">
                  <c:v>7.2</c:v>
                </c:pt>
                <c:pt idx="81">
                  <c:v>3.9</c:v>
                </c:pt>
                <c:pt idx="82">
                  <c:v>7.4</c:v>
                </c:pt>
                <c:pt idx="83">
                  <c:v>10.9</c:v>
                </c:pt>
                <c:pt idx="84">
                  <c:v>5.4</c:v>
                </c:pt>
                <c:pt idx="85">
                  <c:v>3.4</c:v>
                </c:pt>
                <c:pt idx="86">
                  <c:v>12</c:v>
                </c:pt>
                <c:pt idx="87">
                  <c:v>6.6</c:v>
                </c:pt>
                <c:pt idx="88">
                  <c:v>2</c:v>
                </c:pt>
                <c:pt idx="89">
                  <c:v>1.5</c:v>
                </c:pt>
                <c:pt idx="90">
                  <c:v>2.2000000000000002</c:v>
                </c:pt>
                <c:pt idx="91">
                  <c:v>7.9</c:v>
                </c:pt>
                <c:pt idx="92">
                  <c:v>9.6999999999999993</c:v>
                </c:pt>
                <c:pt idx="93">
                  <c:v>5.6</c:v>
                </c:pt>
                <c:pt idx="94">
                  <c:v>1.7</c:v>
                </c:pt>
                <c:pt idx="95">
                  <c:v>5.2</c:v>
                </c:pt>
                <c:pt idx="96">
                  <c:v>12</c:v>
                </c:pt>
                <c:pt idx="97">
                  <c:v>6.8</c:v>
                </c:pt>
                <c:pt idx="98">
                  <c:v>11.7</c:v>
                </c:pt>
                <c:pt idx="99">
                  <c:v>10.5</c:v>
                </c:pt>
                <c:pt idx="100">
                  <c:v>1.1000000000000001</c:v>
                </c:pt>
                <c:pt idx="101">
                  <c:v>8.9</c:v>
                </c:pt>
                <c:pt idx="102">
                  <c:v>8.5</c:v>
                </c:pt>
                <c:pt idx="103">
                  <c:v>6.9</c:v>
                </c:pt>
                <c:pt idx="104">
                  <c:v>3.9</c:v>
                </c:pt>
                <c:pt idx="105">
                  <c:v>8.1</c:v>
                </c:pt>
                <c:pt idx="106">
                  <c:v>2.2000000000000002</c:v>
                </c:pt>
                <c:pt idx="107">
                  <c:v>5.8</c:v>
                </c:pt>
                <c:pt idx="108">
                  <c:v>6</c:v>
                </c:pt>
                <c:pt idx="109">
                  <c:v>11.5</c:v>
                </c:pt>
                <c:pt idx="110">
                  <c:v>10.6</c:v>
                </c:pt>
                <c:pt idx="111">
                  <c:v>3.9</c:v>
                </c:pt>
                <c:pt idx="112">
                  <c:v>6.5</c:v>
                </c:pt>
                <c:pt idx="113">
                  <c:v>3</c:v>
                </c:pt>
                <c:pt idx="114">
                  <c:v>11</c:v>
                </c:pt>
                <c:pt idx="115">
                  <c:v>10.6</c:v>
                </c:pt>
                <c:pt idx="116">
                  <c:v>4.3</c:v>
                </c:pt>
                <c:pt idx="117">
                  <c:v>8</c:v>
                </c:pt>
                <c:pt idx="118">
                  <c:v>7.7</c:v>
                </c:pt>
                <c:pt idx="119">
                  <c:v>2.7</c:v>
                </c:pt>
                <c:pt idx="120">
                  <c:v>9.4</c:v>
                </c:pt>
                <c:pt idx="121">
                  <c:v>6.9</c:v>
                </c:pt>
                <c:pt idx="122">
                  <c:v>9.6</c:v>
                </c:pt>
                <c:pt idx="123">
                  <c:v>6.8</c:v>
                </c:pt>
                <c:pt idx="124">
                  <c:v>1</c:v>
                </c:pt>
                <c:pt idx="125">
                  <c:v>4.5999999999999996</c:v>
                </c:pt>
                <c:pt idx="126">
                  <c:v>1.2</c:v>
                </c:pt>
                <c:pt idx="127">
                  <c:v>11.2</c:v>
                </c:pt>
                <c:pt idx="128">
                  <c:v>10.7</c:v>
                </c:pt>
                <c:pt idx="129">
                  <c:v>10.1</c:v>
                </c:pt>
                <c:pt idx="130">
                  <c:v>4.4000000000000004</c:v>
                </c:pt>
                <c:pt idx="131">
                  <c:v>1.6</c:v>
                </c:pt>
                <c:pt idx="132">
                  <c:v>10.7</c:v>
                </c:pt>
                <c:pt idx="133">
                  <c:v>11.4</c:v>
                </c:pt>
                <c:pt idx="134">
                  <c:v>1.9</c:v>
                </c:pt>
                <c:pt idx="135">
                  <c:v>6.3</c:v>
                </c:pt>
                <c:pt idx="136">
                  <c:v>1.8</c:v>
                </c:pt>
                <c:pt idx="137">
                  <c:v>9.4</c:v>
                </c:pt>
                <c:pt idx="138">
                  <c:v>9.4</c:v>
                </c:pt>
                <c:pt idx="139">
                  <c:v>2.4</c:v>
                </c:pt>
                <c:pt idx="140">
                  <c:v>6.2</c:v>
                </c:pt>
                <c:pt idx="141">
                  <c:v>7</c:v>
                </c:pt>
                <c:pt idx="142">
                  <c:v>3.9</c:v>
                </c:pt>
                <c:pt idx="143">
                  <c:v>10.6</c:v>
                </c:pt>
                <c:pt idx="144">
                  <c:v>5.7</c:v>
                </c:pt>
                <c:pt idx="145">
                  <c:v>3.3</c:v>
                </c:pt>
                <c:pt idx="146">
                  <c:v>6.9</c:v>
                </c:pt>
                <c:pt idx="147">
                  <c:v>9</c:v>
                </c:pt>
                <c:pt idx="148">
                  <c:v>3.2</c:v>
                </c:pt>
                <c:pt idx="149">
                  <c:v>4.4000000000000004</c:v>
                </c:pt>
                <c:pt idx="150">
                  <c:v>11.9</c:v>
                </c:pt>
                <c:pt idx="151">
                  <c:v>8.1</c:v>
                </c:pt>
                <c:pt idx="152">
                  <c:v>5.8</c:v>
                </c:pt>
                <c:pt idx="153">
                  <c:v>6.7</c:v>
                </c:pt>
                <c:pt idx="154">
                  <c:v>2.2999999999999998</c:v>
                </c:pt>
                <c:pt idx="155">
                  <c:v>3.5</c:v>
                </c:pt>
                <c:pt idx="156">
                  <c:v>4.7</c:v>
                </c:pt>
                <c:pt idx="157">
                  <c:v>7.5</c:v>
                </c:pt>
                <c:pt idx="158">
                  <c:v>3.5</c:v>
                </c:pt>
                <c:pt idx="159">
                  <c:v>3.4</c:v>
                </c:pt>
                <c:pt idx="160">
                  <c:v>1.8</c:v>
                </c:pt>
                <c:pt idx="161">
                  <c:v>7.9</c:v>
                </c:pt>
                <c:pt idx="162">
                  <c:v>3.5</c:v>
                </c:pt>
                <c:pt idx="163">
                  <c:v>11</c:v>
                </c:pt>
                <c:pt idx="164">
                  <c:v>10.5</c:v>
                </c:pt>
                <c:pt idx="165">
                  <c:v>1.8</c:v>
                </c:pt>
                <c:pt idx="166">
                  <c:v>3.6</c:v>
                </c:pt>
                <c:pt idx="167">
                  <c:v>8.4</c:v>
                </c:pt>
                <c:pt idx="168">
                  <c:v>3.4</c:v>
                </c:pt>
                <c:pt idx="169">
                  <c:v>2.5</c:v>
                </c:pt>
                <c:pt idx="170">
                  <c:v>11.3</c:v>
                </c:pt>
                <c:pt idx="171">
                  <c:v>7.3</c:v>
                </c:pt>
                <c:pt idx="172">
                  <c:v>6.2</c:v>
                </c:pt>
                <c:pt idx="173">
                  <c:v>9.6</c:v>
                </c:pt>
                <c:pt idx="174">
                  <c:v>9.9</c:v>
                </c:pt>
                <c:pt idx="175">
                  <c:v>3.1</c:v>
                </c:pt>
                <c:pt idx="176">
                  <c:v>2.1</c:v>
                </c:pt>
                <c:pt idx="177">
                  <c:v>5.7</c:v>
                </c:pt>
                <c:pt idx="178">
                  <c:v>5.7</c:v>
                </c:pt>
                <c:pt idx="179">
                  <c:v>6.1</c:v>
                </c:pt>
                <c:pt idx="180">
                  <c:v>9</c:v>
                </c:pt>
                <c:pt idx="181">
                  <c:v>8.4</c:v>
                </c:pt>
                <c:pt idx="182">
                  <c:v>11.8</c:v>
                </c:pt>
                <c:pt idx="183">
                  <c:v>2.1</c:v>
                </c:pt>
                <c:pt idx="184">
                  <c:v>5.4</c:v>
                </c:pt>
                <c:pt idx="185">
                  <c:v>4.7</c:v>
                </c:pt>
                <c:pt idx="186">
                  <c:v>10.5</c:v>
                </c:pt>
                <c:pt idx="187">
                  <c:v>3.7</c:v>
                </c:pt>
                <c:pt idx="188">
                  <c:v>3.1</c:v>
                </c:pt>
                <c:pt idx="189">
                  <c:v>5.9</c:v>
                </c:pt>
                <c:pt idx="190">
                  <c:v>5.6</c:v>
                </c:pt>
                <c:pt idx="191">
                  <c:v>4.0999999999999996</c:v>
                </c:pt>
                <c:pt idx="192">
                  <c:v>3.7</c:v>
                </c:pt>
                <c:pt idx="193">
                  <c:v>11.2</c:v>
                </c:pt>
                <c:pt idx="194">
                  <c:v>5.9</c:v>
                </c:pt>
                <c:pt idx="195">
                  <c:v>10.5</c:v>
                </c:pt>
                <c:pt idx="196">
                  <c:v>7.1</c:v>
                </c:pt>
                <c:pt idx="197">
                  <c:v>1.6</c:v>
                </c:pt>
                <c:pt idx="198">
                  <c:v>12</c:v>
                </c:pt>
                <c:pt idx="199">
                  <c:v>10.199999999999999</c:v>
                </c:pt>
              </c:numCache>
            </c:numRef>
          </c:xVal>
          <c:yVal>
            <c:numRef>
              <c:f>student_exam_scores!$H$2:$H$201</c:f>
              <c:numCache>
                <c:formatCode>General</c:formatCode>
                <c:ptCount val="200"/>
                <c:pt idx="0">
                  <c:v>30.2</c:v>
                </c:pt>
                <c:pt idx="1">
                  <c:v>25</c:v>
                </c:pt>
                <c:pt idx="2">
                  <c:v>35.799999999999997</c:v>
                </c:pt>
                <c:pt idx="3">
                  <c:v>34</c:v>
                </c:pt>
                <c:pt idx="4">
                  <c:v>40.299999999999997</c:v>
                </c:pt>
                <c:pt idx="5">
                  <c:v>35.700000000000003</c:v>
                </c:pt>
                <c:pt idx="6">
                  <c:v>37.9</c:v>
                </c:pt>
                <c:pt idx="7">
                  <c:v>18.3</c:v>
                </c:pt>
                <c:pt idx="8">
                  <c:v>34.700000000000003</c:v>
                </c:pt>
                <c:pt idx="9">
                  <c:v>24.7</c:v>
                </c:pt>
                <c:pt idx="10">
                  <c:v>29.3</c:v>
                </c:pt>
                <c:pt idx="11">
                  <c:v>35.1</c:v>
                </c:pt>
                <c:pt idx="12">
                  <c:v>31.2</c:v>
                </c:pt>
                <c:pt idx="13">
                  <c:v>30.2</c:v>
                </c:pt>
                <c:pt idx="14">
                  <c:v>41.1</c:v>
                </c:pt>
                <c:pt idx="15">
                  <c:v>34.1</c:v>
                </c:pt>
                <c:pt idx="16">
                  <c:v>28.9</c:v>
                </c:pt>
                <c:pt idx="17">
                  <c:v>36.299999999999997</c:v>
                </c:pt>
                <c:pt idx="18">
                  <c:v>35.6</c:v>
                </c:pt>
                <c:pt idx="19">
                  <c:v>17.100000000000001</c:v>
                </c:pt>
                <c:pt idx="20">
                  <c:v>46</c:v>
                </c:pt>
                <c:pt idx="21">
                  <c:v>36.1</c:v>
                </c:pt>
                <c:pt idx="22">
                  <c:v>29.6</c:v>
                </c:pt>
                <c:pt idx="23">
                  <c:v>35.9</c:v>
                </c:pt>
                <c:pt idx="24">
                  <c:v>39.200000000000003</c:v>
                </c:pt>
                <c:pt idx="25">
                  <c:v>30</c:v>
                </c:pt>
                <c:pt idx="26">
                  <c:v>29</c:v>
                </c:pt>
                <c:pt idx="27">
                  <c:v>26.5</c:v>
                </c:pt>
                <c:pt idx="28">
                  <c:v>37.200000000000003</c:v>
                </c:pt>
                <c:pt idx="29">
                  <c:v>36.200000000000003</c:v>
                </c:pt>
                <c:pt idx="30">
                  <c:v>34.5</c:v>
                </c:pt>
                <c:pt idx="31">
                  <c:v>41.6</c:v>
                </c:pt>
                <c:pt idx="32">
                  <c:v>38.1</c:v>
                </c:pt>
                <c:pt idx="33">
                  <c:v>42.7</c:v>
                </c:pt>
                <c:pt idx="34">
                  <c:v>32</c:v>
                </c:pt>
                <c:pt idx="35">
                  <c:v>32</c:v>
                </c:pt>
                <c:pt idx="36">
                  <c:v>44.7</c:v>
                </c:pt>
                <c:pt idx="37">
                  <c:v>38.299999999999997</c:v>
                </c:pt>
                <c:pt idx="38">
                  <c:v>39.799999999999997</c:v>
                </c:pt>
                <c:pt idx="39">
                  <c:v>35</c:v>
                </c:pt>
                <c:pt idx="40">
                  <c:v>34.200000000000003</c:v>
                </c:pt>
                <c:pt idx="41">
                  <c:v>23.1</c:v>
                </c:pt>
                <c:pt idx="42">
                  <c:v>37.200000000000003</c:v>
                </c:pt>
                <c:pt idx="43">
                  <c:v>30.3</c:v>
                </c:pt>
                <c:pt idx="44">
                  <c:v>26.1</c:v>
                </c:pt>
                <c:pt idx="45">
                  <c:v>31.8</c:v>
                </c:pt>
                <c:pt idx="46">
                  <c:v>31.6</c:v>
                </c:pt>
                <c:pt idx="47">
                  <c:v>31.1</c:v>
                </c:pt>
                <c:pt idx="48">
                  <c:v>41.2</c:v>
                </c:pt>
                <c:pt idx="49">
                  <c:v>30.6</c:v>
                </c:pt>
                <c:pt idx="50">
                  <c:v>28.8</c:v>
                </c:pt>
                <c:pt idx="51">
                  <c:v>30.7</c:v>
                </c:pt>
                <c:pt idx="52">
                  <c:v>26.9</c:v>
                </c:pt>
                <c:pt idx="53">
                  <c:v>46.4</c:v>
                </c:pt>
                <c:pt idx="54">
                  <c:v>34.4</c:v>
                </c:pt>
                <c:pt idx="55">
                  <c:v>37</c:v>
                </c:pt>
                <c:pt idx="56">
                  <c:v>35.200000000000003</c:v>
                </c:pt>
                <c:pt idx="57">
                  <c:v>38.200000000000003</c:v>
                </c:pt>
                <c:pt idx="58">
                  <c:v>33</c:v>
                </c:pt>
                <c:pt idx="59">
                  <c:v>29.2</c:v>
                </c:pt>
                <c:pt idx="60">
                  <c:v>48.6</c:v>
                </c:pt>
                <c:pt idx="61">
                  <c:v>36.1</c:v>
                </c:pt>
                <c:pt idx="62">
                  <c:v>27.1</c:v>
                </c:pt>
                <c:pt idx="63">
                  <c:v>36.1</c:v>
                </c:pt>
                <c:pt idx="64">
                  <c:v>39.5</c:v>
                </c:pt>
                <c:pt idx="65">
                  <c:v>36.700000000000003</c:v>
                </c:pt>
                <c:pt idx="66">
                  <c:v>21.7</c:v>
                </c:pt>
                <c:pt idx="67">
                  <c:v>32.200000000000003</c:v>
                </c:pt>
                <c:pt idx="68">
                  <c:v>33.5</c:v>
                </c:pt>
                <c:pt idx="69">
                  <c:v>23.9</c:v>
                </c:pt>
                <c:pt idx="70">
                  <c:v>20.8</c:v>
                </c:pt>
                <c:pt idx="71">
                  <c:v>47.9</c:v>
                </c:pt>
                <c:pt idx="72">
                  <c:v>41.9</c:v>
                </c:pt>
                <c:pt idx="73">
                  <c:v>29.5</c:v>
                </c:pt>
                <c:pt idx="74">
                  <c:v>33.5</c:v>
                </c:pt>
                <c:pt idx="75">
                  <c:v>26.3</c:v>
                </c:pt>
                <c:pt idx="76">
                  <c:v>39.9</c:v>
                </c:pt>
                <c:pt idx="77">
                  <c:v>40.299999999999997</c:v>
                </c:pt>
                <c:pt idx="78">
                  <c:v>26.5</c:v>
                </c:pt>
                <c:pt idx="79">
                  <c:v>34.200000000000003</c:v>
                </c:pt>
                <c:pt idx="80">
                  <c:v>30.8</c:v>
                </c:pt>
                <c:pt idx="81">
                  <c:v>32.4</c:v>
                </c:pt>
                <c:pt idx="82">
                  <c:v>39.799999999999997</c:v>
                </c:pt>
                <c:pt idx="83">
                  <c:v>48.9</c:v>
                </c:pt>
                <c:pt idx="84">
                  <c:v>38</c:v>
                </c:pt>
                <c:pt idx="85">
                  <c:v>26.5</c:v>
                </c:pt>
                <c:pt idx="86">
                  <c:v>51.3</c:v>
                </c:pt>
                <c:pt idx="87">
                  <c:v>28.6</c:v>
                </c:pt>
                <c:pt idx="88">
                  <c:v>32.1</c:v>
                </c:pt>
                <c:pt idx="89">
                  <c:v>23.9</c:v>
                </c:pt>
                <c:pt idx="90">
                  <c:v>27.3</c:v>
                </c:pt>
                <c:pt idx="91">
                  <c:v>34</c:v>
                </c:pt>
                <c:pt idx="92">
                  <c:v>37.5</c:v>
                </c:pt>
                <c:pt idx="93">
                  <c:v>29.1</c:v>
                </c:pt>
                <c:pt idx="94">
                  <c:v>28.1</c:v>
                </c:pt>
                <c:pt idx="95">
                  <c:v>28.7</c:v>
                </c:pt>
                <c:pt idx="96">
                  <c:v>36.9</c:v>
                </c:pt>
                <c:pt idx="97">
                  <c:v>36</c:v>
                </c:pt>
                <c:pt idx="98">
                  <c:v>39.9</c:v>
                </c:pt>
                <c:pt idx="99">
                  <c:v>37.1</c:v>
                </c:pt>
                <c:pt idx="100">
                  <c:v>31.4</c:v>
                </c:pt>
                <c:pt idx="101">
                  <c:v>31.3</c:v>
                </c:pt>
                <c:pt idx="102">
                  <c:v>35.700000000000003</c:v>
                </c:pt>
                <c:pt idx="103">
                  <c:v>32.6</c:v>
                </c:pt>
                <c:pt idx="104">
                  <c:v>24.1</c:v>
                </c:pt>
                <c:pt idx="105">
                  <c:v>38.200000000000003</c:v>
                </c:pt>
                <c:pt idx="106">
                  <c:v>23.7</c:v>
                </c:pt>
                <c:pt idx="107">
                  <c:v>39.200000000000003</c:v>
                </c:pt>
                <c:pt idx="108">
                  <c:v>23.2</c:v>
                </c:pt>
                <c:pt idx="109">
                  <c:v>42.2</c:v>
                </c:pt>
                <c:pt idx="110">
                  <c:v>39.6</c:v>
                </c:pt>
                <c:pt idx="111">
                  <c:v>34.799999999999997</c:v>
                </c:pt>
                <c:pt idx="112">
                  <c:v>34.6</c:v>
                </c:pt>
                <c:pt idx="113">
                  <c:v>26.4</c:v>
                </c:pt>
                <c:pt idx="114">
                  <c:v>43.1</c:v>
                </c:pt>
                <c:pt idx="115">
                  <c:v>46.4</c:v>
                </c:pt>
                <c:pt idx="116">
                  <c:v>25.2</c:v>
                </c:pt>
                <c:pt idx="117">
                  <c:v>31.3</c:v>
                </c:pt>
                <c:pt idx="118">
                  <c:v>35.799999999999997</c:v>
                </c:pt>
                <c:pt idx="119">
                  <c:v>29.8</c:v>
                </c:pt>
                <c:pt idx="120">
                  <c:v>47.9</c:v>
                </c:pt>
                <c:pt idx="121">
                  <c:v>40.9</c:v>
                </c:pt>
                <c:pt idx="122">
                  <c:v>44.1</c:v>
                </c:pt>
                <c:pt idx="123">
                  <c:v>39.299999999999997</c:v>
                </c:pt>
                <c:pt idx="124">
                  <c:v>21.2</c:v>
                </c:pt>
                <c:pt idx="125">
                  <c:v>38.6</c:v>
                </c:pt>
                <c:pt idx="126">
                  <c:v>26.8</c:v>
                </c:pt>
                <c:pt idx="127">
                  <c:v>42.7</c:v>
                </c:pt>
                <c:pt idx="128">
                  <c:v>36.1</c:v>
                </c:pt>
                <c:pt idx="129">
                  <c:v>39.200000000000003</c:v>
                </c:pt>
                <c:pt idx="130">
                  <c:v>32.9</c:v>
                </c:pt>
                <c:pt idx="131">
                  <c:v>28.8</c:v>
                </c:pt>
                <c:pt idx="132">
                  <c:v>45.7</c:v>
                </c:pt>
                <c:pt idx="133">
                  <c:v>40.799999999999997</c:v>
                </c:pt>
                <c:pt idx="134">
                  <c:v>30.6</c:v>
                </c:pt>
                <c:pt idx="135">
                  <c:v>41.1</c:v>
                </c:pt>
                <c:pt idx="136">
                  <c:v>29</c:v>
                </c:pt>
                <c:pt idx="137">
                  <c:v>35.1</c:v>
                </c:pt>
                <c:pt idx="138">
                  <c:v>39.9</c:v>
                </c:pt>
                <c:pt idx="139">
                  <c:v>29.9</c:v>
                </c:pt>
                <c:pt idx="140">
                  <c:v>35</c:v>
                </c:pt>
                <c:pt idx="141">
                  <c:v>43.3</c:v>
                </c:pt>
                <c:pt idx="142">
                  <c:v>19</c:v>
                </c:pt>
                <c:pt idx="143">
                  <c:v>35.1</c:v>
                </c:pt>
                <c:pt idx="144">
                  <c:v>29.9</c:v>
                </c:pt>
                <c:pt idx="145">
                  <c:v>33</c:v>
                </c:pt>
                <c:pt idx="146">
                  <c:v>45.8</c:v>
                </c:pt>
                <c:pt idx="147">
                  <c:v>35.5</c:v>
                </c:pt>
                <c:pt idx="148">
                  <c:v>26.4</c:v>
                </c:pt>
                <c:pt idx="149">
                  <c:v>21.9</c:v>
                </c:pt>
                <c:pt idx="150">
                  <c:v>44.1</c:v>
                </c:pt>
                <c:pt idx="151">
                  <c:v>42.3</c:v>
                </c:pt>
                <c:pt idx="152">
                  <c:v>27.7</c:v>
                </c:pt>
                <c:pt idx="153">
                  <c:v>33.4</c:v>
                </c:pt>
                <c:pt idx="154">
                  <c:v>29.7</c:v>
                </c:pt>
                <c:pt idx="155">
                  <c:v>23.6</c:v>
                </c:pt>
                <c:pt idx="156">
                  <c:v>33.6</c:v>
                </c:pt>
                <c:pt idx="157">
                  <c:v>37.9</c:v>
                </c:pt>
                <c:pt idx="158">
                  <c:v>29.5</c:v>
                </c:pt>
                <c:pt idx="159">
                  <c:v>24.7</c:v>
                </c:pt>
                <c:pt idx="160">
                  <c:v>25.2</c:v>
                </c:pt>
                <c:pt idx="161">
                  <c:v>31.4</c:v>
                </c:pt>
                <c:pt idx="162">
                  <c:v>30</c:v>
                </c:pt>
                <c:pt idx="163">
                  <c:v>35.799999999999997</c:v>
                </c:pt>
                <c:pt idx="164">
                  <c:v>40.6</c:v>
                </c:pt>
                <c:pt idx="165">
                  <c:v>30.1</c:v>
                </c:pt>
                <c:pt idx="166">
                  <c:v>30.3</c:v>
                </c:pt>
                <c:pt idx="167">
                  <c:v>42</c:v>
                </c:pt>
                <c:pt idx="168">
                  <c:v>32.1</c:v>
                </c:pt>
                <c:pt idx="169">
                  <c:v>22.8</c:v>
                </c:pt>
                <c:pt idx="170">
                  <c:v>45.3</c:v>
                </c:pt>
                <c:pt idx="171">
                  <c:v>31</c:v>
                </c:pt>
                <c:pt idx="172">
                  <c:v>31</c:v>
                </c:pt>
                <c:pt idx="173">
                  <c:v>40.9</c:v>
                </c:pt>
                <c:pt idx="174">
                  <c:v>44.8</c:v>
                </c:pt>
                <c:pt idx="175">
                  <c:v>34.4</c:v>
                </c:pt>
                <c:pt idx="176">
                  <c:v>30.7</c:v>
                </c:pt>
                <c:pt idx="177">
                  <c:v>31</c:v>
                </c:pt>
                <c:pt idx="178">
                  <c:v>35</c:v>
                </c:pt>
                <c:pt idx="179">
                  <c:v>31.4</c:v>
                </c:pt>
                <c:pt idx="180">
                  <c:v>38.4</c:v>
                </c:pt>
                <c:pt idx="181">
                  <c:v>36.1</c:v>
                </c:pt>
                <c:pt idx="182">
                  <c:v>44.1</c:v>
                </c:pt>
                <c:pt idx="183">
                  <c:v>19.399999999999999</c:v>
                </c:pt>
                <c:pt idx="184">
                  <c:v>39.4</c:v>
                </c:pt>
                <c:pt idx="185">
                  <c:v>22.9</c:v>
                </c:pt>
                <c:pt idx="186">
                  <c:v>36.200000000000003</c:v>
                </c:pt>
                <c:pt idx="187">
                  <c:v>33.4</c:v>
                </c:pt>
                <c:pt idx="188">
                  <c:v>23.4</c:v>
                </c:pt>
                <c:pt idx="189">
                  <c:v>28</c:v>
                </c:pt>
                <c:pt idx="190">
                  <c:v>32.200000000000003</c:v>
                </c:pt>
                <c:pt idx="191">
                  <c:v>30.7</c:v>
                </c:pt>
                <c:pt idx="192">
                  <c:v>28.8</c:v>
                </c:pt>
                <c:pt idx="193">
                  <c:v>46.7</c:v>
                </c:pt>
                <c:pt idx="194">
                  <c:v>33.799999999999997</c:v>
                </c:pt>
                <c:pt idx="195">
                  <c:v>42.7</c:v>
                </c:pt>
                <c:pt idx="196">
                  <c:v>40.4</c:v>
                </c:pt>
                <c:pt idx="197">
                  <c:v>28.2</c:v>
                </c:pt>
                <c:pt idx="198">
                  <c:v>42</c:v>
                </c:pt>
                <c:pt idx="199">
                  <c:v>37.799999999999997</c:v>
                </c:pt>
              </c:numCache>
            </c:numRef>
          </c:yVal>
          <c:smooth val="0"/>
          <c:extLst>
            <c:ext xmlns:c16="http://schemas.microsoft.com/office/drawing/2014/chart" uri="{C3380CC4-5D6E-409C-BE32-E72D297353CC}">
              <c16:uniqueId val="{00000000-1829-4316-8D33-CAD788368072}"/>
            </c:ext>
          </c:extLst>
        </c:ser>
        <c:dLbls>
          <c:showLegendKey val="0"/>
          <c:showVal val="0"/>
          <c:showCatName val="0"/>
          <c:showSerName val="0"/>
          <c:showPercent val="0"/>
          <c:showBubbleSize val="0"/>
        </c:dLbls>
        <c:axId val="1987579648"/>
        <c:axId val="1987580064"/>
      </c:scatterChart>
      <c:valAx>
        <c:axId val="1987579648"/>
        <c:scaling>
          <c:orientation val="minMax"/>
        </c:scaling>
        <c:delete val="0"/>
        <c:axPos val="b"/>
        <c:majorGridlines>
          <c:spPr>
            <a:ln w="9525" cap="flat" cmpd="sng" algn="ctr">
              <a:solidFill>
                <a:schemeClr val="bg1">
                  <a:lumMod val="9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900">
                    <a:latin typeface="Georgia" panose="02040502050405020303" pitchFamily="18" charset="0"/>
                  </a:rPr>
                  <a:t>Study</a:t>
                </a:r>
                <a:r>
                  <a:rPr lang="en-GB" sz="900" baseline="0">
                    <a:latin typeface="Georgia" panose="02040502050405020303" pitchFamily="18" charset="0"/>
                  </a:rPr>
                  <a:t> hours</a:t>
                </a:r>
                <a:endParaRPr lang="en-GB" sz="900">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987580064"/>
        <c:crosses val="autoZero"/>
        <c:crossBetween val="midCat"/>
      </c:valAx>
      <c:valAx>
        <c:axId val="1987580064"/>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900">
                    <a:latin typeface="Georgia" panose="02040502050405020303" pitchFamily="18" charset="0"/>
                  </a:rPr>
                  <a:t>Exam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NG"/>
          </a:p>
        </c:txPr>
        <c:crossAx val="198757964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5.png"/><Relationship Id="rId18" Type="http://schemas.openxmlformats.org/officeDocument/2006/relationships/chart" Target="../charts/chart14.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hyperlink" Target="#Observation!A1"/><Relationship Id="rId17"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4.svg"/><Relationship Id="rId5" Type="http://schemas.openxmlformats.org/officeDocument/2006/relationships/chart" Target="../charts/chart10.xml"/><Relationship Id="rId15" Type="http://schemas.openxmlformats.org/officeDocument/2006/relationships/hyperlink" Target="#Recommendation!A1"/><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hyperlink" Target="mailto:nnuforole.odinaka@gmail.com?subject=Students'%20performance%20analysis" TargetMode="External"/><Relationship Id="rId14" Type="http://schemas.openxmlformats.org/officeDocument/2006/relationships/image" Target="../media/image6.svg"/></Relationships>
</file>

<file path=xl/drawings/_rels/drawing13.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50800</xdr:colOff>
      <xdr:row>1</xdr:row>
      <xdr:rowOff>180975</xdr:rowOff>
    </xdr:from>
    <xdr:to>
      <xdr:col>10</xdr:col>
      <xdr:colOff>355600</xdr:colOff>
      <xdr:row>16</xdr:row>
      <xdr:rowOff>161925</xdr:rowOff>
    </xdr:to>
    <xdr:graphicFrame macro="">
      <xdr:nvGraphicFramePr>
        <xdr:cNvPr id="2" name="Chart 1">
          <a:extLst>
            <a:ext uri="{FF2B5EF4-FFF2-40B4-BE49-F238E27FC236}">
              <a16:creationId xmlns:a16="http://schemas.microsoft.com/office/drawing/2014/main" id="{C26B3406-1EB9-4161-BF6D-CBD7C02B7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50800</xdr:colOff>
      <xdr:row>1</xdr:row>
      <xdr:rowOff>180975</xdr:rowOff>
    </xdr:from>
    <xdr:to>
      <xdr:col>10</xdr:col>
      <xdr:colOff>355600</xdr:colOff>
      <xdr:row>16</xdr:row>
      <xdr:rowOff>161925</xdr:rowOff>
    </xdr:to>
    <xdr:graphicFrame macro="">
      <xdr:nvGraphicFramePr>
        <xdr:cNvPr id="2" name="Chart 1">
          <a:extLst>
            <a:ext uri="{FF2B5EF4-FFF2-40B4-BE49-F238E27FC236}">
              <a16:creationId xmlns:a16="http://schemas.microsoft.com/office/drawing/2014/main" id="{7D4D38AA-5BCF-4C2F-A418-A5F04BD0F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361950</xdr:colOff>
      <xdr:row>1</xdr:row>
      <xdr:rowOff>180975</xdr:rowOff>
    </xdr:from>
    <xdr:to>
      <xdr:col>13</xdr:col>
      <xdr:colOff>196850</xdr:colOff>
      <xdr:row>15</xdr:row>
      <xdr:rowOff>0</xdr:rowOff>
    </xdr:to>
    <xdr:graphicFrame macro="">
      <xdr:nvGraphicFramePr>
        <xdr:cNvPr id="2" name="Chart 1">
          <a:extLst>
            <a:ext uri="{FF2B5EF4-FFF2-40B4-BE49-F238E27FC236}">
              <a16:creationId xmlns:a16="http://schemas.microsoft.com/office/drawing/2014/main" id="{7EC5FF48-2549-4543-90F7-0BE3119F32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215900</xdr:colOff>
      <xdr:row>1</xdr:row>
      <xdr:rowOff>79375</xdr:rowOff>
    </xdr:from>
    <xdr:to>
      <xdr:col>15</xdr:col>
      <xdr:colOff>69850</xdr:colOff>
      <xdr:row>13</xdr:row>
      <xdr:rowOff>6350</xdr:rowOff>
    </xdr:to>
    <xdr:graphicFrame macro="">
      <xdr:nvGraphicFramePr>
        <xdr:cNvPr id="2" name="Chart 1">
          <a:extLst>
            <a:ext uri="{FF2B5EF4-FFF2-40B4-BE49-F238E27FC236}">
              <a16:creationId xmlns:a16="http://schemas.microsoft.com/office/drawing/2014/main" id="{E803A36C-29D1-4531-B285-AA9255436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215900</xdr:colOff>
      <xdr:row>1</xdr:row>
      <xdr:rowOff>79375</xdr:rowOff>
    </xdr:from>
    <xdr:to>
      <xdr:col>15</xdr:col>
      <xdr:colOff>444500</xdr:colOff>
      <xdr:row>13</xdr:row>
      <xdr:rowOff>6350</xdr:rowOff>
    </xdr:to>
    <xdr:graphicFrame macro="">
      <xdr:nvGraphicFramePr>
        <xdr:cNvPr id="2" name="Chart 1">
          <a:extLst>
            <a:ext uri="{FF2B5EF4-FFF2-40B4-BE49-F238E27FC236}">
              <a16:creationId xmlns:a16="http://schemas.microsoft.com/office/drawing/2014/main" id="{026CD982-C652-478A-9220-C7D492567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469900</xdr:colOff>
      <xdr:row>1</xdr:row>
      <xdr:rowOff>180975</xdr:rowOff>
    </xdr:from>
    <xdr:to>
      <xdr:col>11</xdr:col>
      <xdr:colOff>438150</xdr:colOff>
      <xdr:row>15</xdr:row>
      <xdr:rowOff>0</xdr:rowOff>
    </xdr:to>
    <xdr:graphicFrame macro="">
      <xdr:nvGraphicFramePr>
        <xdr:cNvPr id="2" name="Chart 1">
          <a:extLst>
            <a:ext uri="{FF2B5EF4-FFF2-40B4-BE49-F238E27FC236}">
              <a16:creationId xmlns:a16="http://schemas.microsoft.com/office/drawing/2014/main" id="{ABF09F3B-FEBA-4E59-8B5B-F4FBF68C1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654050</xdr:colOff>
      <xdr:row>3</xdr:row>
      <xdr:rowOff>149225</xdr:rowOff>
    </xdr:from>
    <xdr:to>
      <xdr:col>12</xdr:col>
      <xdr:colOff>546100</xdr:colOff>
      <xdr:row>16</xdr:row>
      <xdr:rowOff>152400</xdr:rowOff>
    </xdr:to>
    <xdr:graphicFrame macro="">
      <xdr:nvGraphicFramePr>
        <xdr:cNvPr id="2" name="Chart 1">
          <a:extLst>
            <a:ext uri="{FF2B5EF4-FFF2-40B4-BE49-F238E27FC236}">
              <a16:creationId xmlns:a16="http://schemas.microsoft.com/office/drawing/2014/main" id="{8215CE4E-4753-4D8E-A892-74F6DED46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209550</xdr:colOff>
      <xdr:row>0</xdr:row>
      <xdr:rowOff>82550</xdr:rowOff>
    </xdr:from>
    <xdr:to>
      <xdr:col>7</xdr:col>
      <xdr:colOff>139700</xdr:colOff>
      <xdr:row>13</xdr:row>
      <xdr:rowOff>31750</xdr:rowOff>
    </xdr:to>
    <xdr:sp macro="" textlink="">
      <xdr:nvSpPr>
        <xdr:cNvPr id="2" name="Rectangle 1">
          <a:extLst>
            <a:ext uri="{FF2B5EF4-FFF2-40B4-BE49-F238E27FC236}">
              <a16:creationId xmlns:a16="http://schemas.microsoft.com/office/drawing/2014/main" id="{829E7DEC-FAD9-4626-9D4A-6CF0D689DFEE}"/>
            </a:ext>
          </a:extLst>
        </xdr:cNvPr>
        <xdr:cNvSpPr/>
      </xdr:nvSpPr>
      <xdr:spPr>
        <a:xfrm>
          <a:off x="209550" y="8255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6">
                  <a:lumMod val="50000"/>
                </a:schemeClr>
              </a:solidFill>
            </a:rPr>
            <a:t>PROJECT SPLIT</a:t>
          </a:r>
        </a:p>
        <a:p>
          <a:pPr algn="l"/>
          <a:r>
            <a:rPr lang="en-GB" sz="950">
              <a:solidFill>
                <a:schemeClr val="accent6">
                  <a:lumMod val="50000"/>
                </a:schemeClr>
              </a:solidFill>
            </a:rPr>
            <a:t>Category one - Independent</a:t>
          </a:r>
          <a:r>
            <a:rPr lang="en-GB" sz="950" baseline="0">
              <a:solidFill>
                <a:schemeClr val="accent6">
                  <a:lumMod val="50000"/>
                </a:schemeClr>
              </a:solidFill>
            </a:rPr>
            <a:t> Variable</a:t>
          </a:r>
        </a:p>
        <a:p>
          <a:pPr algn="l"/>
          <a:r>
            <a:rPr lang="en-GB" sz="950" baseline="0">
              <a:solidFill>
                <a:schemeClr val="accent6">
                  <a:lumMod val="50000"/>
                </a:schemeClr>
              </a:solidFill>
            </a:rPr>
            <a:t>Student ID</a:t>
          </a:r>
        </a:p>
        <a:p>
          <a:pPr algn="l"/>
          <a:r>
            <a:rPr lang="en-GB" sz="950" baseline="0">
              <a:solidFill>
                <a:schemeClr val="accent6">
                  <a:lumMod val="50000"/>
                </a:schemeClr>
              </a:solidFill>
            </a:rPr>
            <a:t>Attendance percent</a:t>
          </a:r>
        </a:p>
        <a:p>
          <a:pPr algn="l"/>
          <a:r>
            <a:rPr lang="en-GB" sz="950" baseline="0">
              <a:solidFill>
                <a:schemeClr val="accent6">
                  <a:lumMod val="50000"/>
                </a:schemeClr>
              </a:solidFill>
            </a:rPr>
            <a:t>Hours studied</a:t>
          </a:r>
        </a:p>
        <a:p>
          <a:pPr algn="l"/>
          <a:r>
            <a:rPr lang="en-GB" sz="950" baseline="0">
              <a:solidFill>
                <a:schemeClr val="accent6">
                  <a:lumMod val="50000"/>
                </a:schemeClr>
              </a:solidFill>
            </a:rPr>
            <a:t>Sleep hours</a:t>
          </a:r>
        </a:p>
        <a:p>
          <a:pPr algn="l"/>
          <a:r>
            <a:rPr lang="en-GB" sz="950" baseline="0">
              <a:solidFill>
                <a:schemeClr val="accent6">
                  <a:lumMod val="50000"/>
                </a:schemeClr>
              </a:solidFill>
            </a:rPr>
            <a:t>Exam grade</a:t>
          </a:r>
        </a:p>
        <a:p>
          <a:pPr algn="l"/>
          <a:endParaRPr lang="en-GB" sz="950" baseline="0">
            <a:solidFill>
              <a:schemeClr val="accent6">
                <a:lumMod val="50000"/>
              </a:schemeClr>
            </a:solidFill>
          </a:endParaRPr>
        </a:p>
        <a:p>
          <a:pPr algn="l"/>
          <a:r>
            <a:rPr lang="en-GB" sz="950" baseline="0">
              <a:solidFill>
                <a:schemeClr val="accent6">
                  <a:lumMod val="50000"/>
                </a:schemeClr>
              </a:solidFill>
            </a:rPr>
            <a:t>Category two - Dependent Variable</a:t>
          </a:r>
        </a:p>
        <a:p>
          <a:pPr algn="l"/>
          <a:r>
            <a:rPr lang="en-GB" sz="950" baseline="0">
              <a:solidFill>
                <a:schemeClr val="accent6">
                  <a:lumMod val="50000"/>
                </a:schemeClr>
              </a:solidFill>
            </a:rPr>
            <a:t>Previous scores</a:t>
          </a:r>
        </a:p>
        <a:p>
          <a:pPr algn="l"/>
          <a:r>
            <a:rPr lang="en-GB" sz="950" baseline="0">
              <a:solidFill>
                <a:schemeClr val="accent6">
                  <a:lumMod val="50000"/>
                </a:schemeClr>
              </a:solidFill>
            </a:rPr>
            <a:t>Exam score</a:t>
          </a:r>
        </a:p>
        <a:p>
          <a:pPr algn="l"/>
          <a:r>
            <a:rPr lang="en-GB" sz="950" baseline="0">
              <a:solidFill>
                <a:schemeClr val="accent6">
                  <a:lumMod val="50000"/>
                </a:schemeClr>
              </a:solidFill>
            </a:rPr>
            <a:t>Hours studied</a:t>
          </a:r>
        </a:p>
        <a:p>
          <a:pPr algn="l"/>
          <a:r>
            <a:rPr lang="en-GB" sz="950" baseline="0">
              <a:solidFill>
                <a:schemeClr val="accent6">
                  <a:lumMod val="50000"/>
                </a:schemeClr>
              </a:solidFill>
            </a:rPr>
            <a:t>Sleep hours</a:t>
          </a:r>
        </a:p>
        <a:p>
          <a:pPr algn="l"/>
          <a:r>
            <a:rPr lang="en-GB" sz="950" baseline="0">
              <a:solidFill>
                <a:schemeClr val="accent6">
                  <a:lumMod val="50000"/>
                </a:schemeClr>
              </a:solidFill>
            </a:rPr>
            <a:t>Exam grade</a:t>
          </a:r>
        </a:p>
        <a:p>
          <a:pPr algn="l"/>
          <a:r>
            <a:rPr lang="en-GB" sz="950" baseline="0">
              <a:solidFill>
                <a:schemeClr val="accent6">
                  <a:lumMod val="50000"/>
                </a:schemeClr>
              </a:solidFill>
            </a:rPr>
            <a:t>Previous score grade</a:t>
          </a:r>
          <a:endParaRPr lang="en-NG" sz="950">
            <a:solidFill>
              <a:schemeClr val="accent6">
                <a:lumMod val="50000"/>
              </a:schemeClr>
            </a:solidFill>
          </a:endParaRPr>
        </a:p>
      </xdr:txBody>
    </xdr:sp>
    <xdr:clientData/>
  </xdr:twoCellAnchor>
  <xdr:twoCellAnchor>
    <xdr:from>
      <xdr:col>0</xdr:col>
      <xdr:colOff>184150</xdr:colOff>
      <xdr:row>14</xdr:row>
      <xdr:rowOff>107950</xdr:rowOff>
    </xdr:from>
    <xdr:to>
      <xdr:col>7</xdr:col>
      <xdr:colOff>114300</xdr:colOff>
      <xdr:row>27</xdr:row>
      <xdr:rowOff>57150</xdr:rowOff>
    </xdr:to>
    <xdr:sp macro="" textlink="">
      <xdr:nvSpPr>
        <xdr:cNvPr id="3" name="Rectangle 2">
          <a:extLst>
            <a:ext uri="{FF2B5EF4-FFF2-40B4-BE49-F238E27FC236}">
              <a16:creationId xmlns:a16="http://schemas.microsoft.com/office/drawing/2014/main" id="{8BD17AE0-06F3-4B68-A987-3948E7D2E363}"/>
            </a:ext>
          </a:extLst>
        </xdr:cNvPr>
        <xdr:cNvSpPr/>
      </xdr:nvSpPr>
      <xdr:spPr>
        <a:xfrm>
          <a:off x="184150" y="268605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POTENTIAL ANALYSIS</a:t>
          </a:r>
          <a:r>
            <a:rPr lang="en-GB" sz="1000" baseline="0">
              <a:solidFill>
                <a:schemeClr val="bg1"/>
              </a:solidFill>
            </a:rPr>
            <a:t> QUESTION</a:t>
          </a:r>
        </a:p>
        <a:p>
          <a:pPr algn="l"/>
          <a:r>
            <a:rPr lang="en-GB" sz="1000" baseline="0">
              <a:solidFill>
                <a:schemeClr val="bg1"/>
              </a:solidFill>
            </a:rPr>
            <a:t>1. Which student has the best performance?</a:t>
          </a:r>
        </a:p>
        <a:p>
          <a:pPr algn="l"/>
          <a:r>
            <a:rPr lang="en-GB" sz="1000" baseline="0">
              <a:solidFill>
                <a:schemeClr val="bg1"/>
              </a:solidFill>
            </a:rPr>
            <a:t>2. What is the average hour spent on studying?</a:t>
          </a:r>
        </a:p>
        <a:p>
          <a:pPr algn="l"/>
          <a:r>
            <a:rPr lang="en-GB" sz="1000" baseline="0">
              <a:solidFill>
                <a:schemeClr val="bg1"/>
              </a:solidFill>
            </a:rPr>
            <a:t>3. How does attendance affect exam grade?</a:t>
          </a:r>
        </a:p>
        <a:p>
          <a:pPr algn="l"/>
          <a:r>
            <a:rPr lang="en-GB" sz="1000" baseline="0">
              <a:solidFill>
                <a:schemeClr val="bg1"/>
              </a:solidFill>
            </a:rPr>
            <a:t>4. What is the percentage of students' performance by exam grade?</a:t>
          </a:r>
        </a:p>
        <a:p>
          <a:pPr algn="l"/>
          <a:r>
            <a:rPr lang="en-GB" sz="1000" baseline="0">
              <a:solidFill>
                <a:schemeClr val="bg1"/>
              </a:solidFill>
            </a:rPr>
            <a:t>5. How did attendance affect previous score grade?</a:t>
          </a:r>
        </a:p>
        <a:p>
          <a:pPr algn="l"/>
          <a:r>
            <a:rPr lang="en-GB" sz="1000" baseline="0">
              <a:solidFill>
                <a:schemeClr val="bg1"/>
              </a:solidFill>
            </a:rPr>
            <a:t>6. Does hours spend studying influence exam scores?</a:t>
          </a:r>
        </a:p>
        <a:p>
          <a:pPr algn="l"/>
          <a:r>
            <a:rPr lang="en-GB" sz="1000" baseline="0">
              <a:solidFill>
                <a:schemeClr val="bg1"/>
              </a:solidFill>
            </a:rPr>
            <a:t>7. Which students performed poorly in the exam scores?</a:t>
          </a:r>
          <a:endParaRPr lang="en-NG" sz="1000">
            <a:solidFill>
              <a:schemeClr val="bg1"/>
            </a:solidFill>
          </a:endParaRPr>
        </a:p>
      </xdr:txBody>
    </xdr:sp>
    <xdr:clientData/>
  </xdr:twoCellAnchor>
  <xdr:twoCellAnchor>
    <xdr:from>
      <xdr:col>8</xdr:col>
      <xdr:colOff>177800</xdr:colOff>
      <xdr:row>14</xdr:row>
      <xdr:rowOff>114300</xdr:rowOff>
    </xdr:from>
    <xdr:to>
      <xdr:col>15</xdr:col>
      <xdr:colOff>107950</xdr:colOff>
      <xdr:row>27</xdr:row>
      <xdr:rowOff>63500</xdr:rowOff>
    </xdr:to>
    <xdr:sp macro="" textlink="">
      <xdr:nvSpPr>
        <xdr:cNvPr id="4" name="Rectangle 3">
          <a:extLst>
            <a:ext uri="{FF2B5EF4-FFF2-40B4-BE49-F238E27FC236}">
              <a16:creationId xmlns:a16="http://schemas.microsoft.com/office/drawing/2014/main" id="{14420C43-66A7-4319-B884-268D63C9F47B}"/>
            </a:ext>
          </a:extLst>
        </xdr:cNvPr>
        <xdr:cNvSpPr/>
      </xdr:nvSpPr>
      <xdr:spPr>
        <a:xfrm>
          <a:off x="5054600" y="269240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50">
              <a:solidFill>
                <a:schemeClr val="accent6">
                  <a:lumMod val="50000"/>
                </a:schemeClr>
              </a:solidFill>
            </a:rPr>
            <a:t>INDUSTRY</a:t>
          </a:r>
          <a:r>
            <a:rPr lang="en-GB" sz="950" baseline="0">
              <a:solidFill>
                <a:schemeClr val="accent6">
                  <a:lumMod val="50000"/>
                </a:schemeClr>
              </a:solidFill>
            </a:rPr>
            <a:t> TYPE</a:t>
          </a:r>
        </a:p>
        <a:p>
          <a:pPr algn="l"/>
          <a:r>
            <a:rPr lang="en-GB" sz="950" baseline="0">
              <a:solidFill>
                <a:schemeClr val="accent6">
                  <a:lumMod val="50000"/>
                </a:schemeClr>
              </a:solidFill>
            </a:rPr>
            <a:t>Students exam performance - Education</a:t>
          </a:r>
        </a:p>
        <a:p>
          <a:pPr algn="l"/>
          <a:endParaRPr lang="en-GB" sz="950" baseline="0">
            <a:solidFill>
              <a:schemeClr val="accent6">
                <a:lumMod val="50000"/>
              </a:schemeClr>
            </a:solidFill>
          </a:endParaRPr>
        </a:p>
        <a:p>
          <a:pPr algn="ctr"/>
          <a:r>
            <a:rPr lang="en-GB" sz="950" baseline="0">
              <a:solidFill>
                <a:schemeClr val="accent6">
                  <a:lumMod val="50000"/>
                </a:schemeClr>
              </a:solidFill>
            </a:rPr>
            <a:t>DATA STORY</a:t>
          </a:r>
        </a:p>
        <a:p>
          <a:pPr algn="l"/>
          <a:r>
            <a:rPr lang="en-GB" sz="950" baseline="0">
              <a:solidFill>
                <a:schemeClr val="accent6">
                  <a:lumMod val="50000"/>
                </a:schemeClr>
              </a:solidFill>
            </a:rPr>
            <a:t>The data contains students previous and exam performance. It also shows their attendance percent, sleep hours and hours spent studying. The school board can use the data to analyse whether attendance in classes, and hours spent studying translates to students performance.</a:t>
          </a:r>
        </a:p>
        <a:p>
          <a:pPr algn="l"/>
          <a:endParaRPr lang="en-GB" sz="950" baseline="0">
            <a:solidFill>
              <a:schemeClr val="accent6">
                <a:lumMod val="50000"/>
              </a:schemeClr>
            </a:solidFill>
          </a:endParaRPr>
        </a:p>
        <a:p>
          <a:pPr algn="ctr"/>
          <a:r>
            <a:rPr lang="en-GB" sz="950" baseline="0">
              <a:solidFill>
                <a:schemeClr val="accent6">
                  <a:lumMod val="50000"/>
                </a:schemeClr>
              </a:solidFill>
            </a:rPr>
            <a:t>STAKEHOLDERS OF PROJECT</a:t>
          </a:r>
        </a:p>
        <a:p>
          <a:pPr algn="l"/>
          <a:r>
            <a:rPr lang="en-GB" sz="950" baseline="0">
              <a:solidFill>
                <a:schemeClr val="accent6">
                  <a:lumMod val="50000"/>
                </a:schemeClr>
              </a:solidFill>
            </a:rPr>
            <a:t>Proprietor		Parents</a:t>
          </a:r>
        </a:p>
        <a:p>
          <a:pPr algn="l"/>
          <a:r>
            <a:rPr lang="en-GB" sz="950" baseline="0">
              <a:solidFill>
                <a:schemeClr val="accent6">
                  <a:lumMod val="50000"/>
                </a:schemeClr>
              </a:solidFill>
            </a:rPr>
            <a:t>Headteacher</a:t>
          </a:r>
        </a:p>
        <a:p>
          <a:pPr algn="l"/>
          <a:r>
            <a:rPr lang="en-GB" sz="950" baseline="0">
              <a:solidFill>
                <a:schemeClr val="accent6">
                  <a:lumMod val="50000"/>
                </a:schemeClr>
              </a:solidFill>
            </a:rPr>
            <a:t>Class teachers</a:t>
          </a:r>
        </a:p>
        <a:p>
          <a:pPr algn="ctr"/>
          <a:r>
            <a:rPr lang="en-GB" sz="950" baseline="0">
              <a:solidFill>
                <a:schemeClr val="accent6">
                  <a:lumMod val="50000"/>
                </a:schemeClr>
              </a:solidFill>
            </a:rPr>
            <a:t>DEFINITION OF SUCCESS</a:t>
          </a:r>
        </a:p>
        <a:p>
          <a:pPr algn="l"/>
          <a:r>
            <a:rPr lang="en-GB" sz="950" baseline="0">
              <a:solidFill>
                <a:schemeClr val="accent6">
                  <a:lumMod val="50000"/>
                </a:schemeClr>
              </a:solidFill>
            </a:rPr>
            <a:t>Good academic performance</a:t>
          </a:r>
          <a:endParaRPr lang="en-NG" sz="950">
            <a:solidFill>
              <a:schemeClr val="accent6">
                <a:lumMod val="50000"/>
              </a:schemeClr>
            </a:solidFill>
          </a:endParaRPr>
        </a:p>
      </xdr:txBody>
    </xdr:sp>
    <xdr:clientData/>
  </xdr:twoCellAnchor>
  <xdr:twoCellAnchor>
    <xdr:from>
      <xdr:col>8</xdr:col>
      <xdr:colOff>158750</xdr:colOff>
      <xdr:row>0</xdr:row>
      <xdr:rowOff>101600</xdr:rowOff>
    </xdr:from>
    <xdr:to>
      <xdr:col>15</xdr:col>
      <xdr:colOff>88900</xdr:colOff>
      <xdr:row>13</xdr:row>
      <xdr:rowOff>50800</xdr:rowOff>
    </xdr:to>
    <xdr:sp macro="" textlink="">
      <xdr:nvSpPr>
        <xdr:cNvPr id="5" name="Rectangle 4">
          <a:extLst>
            <a:ext uri="{FF2B5EF4-FFF2-40B4-BE49-F238E27FC236}">
              <a16:creationId xmlns:a16="http://schemas.microsoft.com/office/drawing/2014/main" id="{41EFE810-0B87-4244-85AE-926CF46A8499}"/>
            </a:ext>
          </a:extLst>
        </xdr:cNvPr>
        <xdr:cNvSpPr/>
      </xdr:nvSpPr>
      <xdr:spPr>
        <a:xfrm>
          <a:off x="5035550" y="10160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EXPECTED INSIGHTS</a:t>
          </a:r>
        </a:p>
        <a:p>
          <a:pPr algn="l"/>
          <a:r>
            <a:rPr lang="en-GB" sz="1000">
              <a:solidFill>
                <a:schemeClr val="bg1"/>
              </a:solidFill>
            </a:rPr>
            <a:t>1. Students with best performance</a:t>
          </a:r>
        </a:p>
        <a:p>
          <a:pPr algn="l"/>
          <a:r>
            <a:rPr lang="en-GB" sz="1000">
              <a:solidFill>
                <a:schemeClr val="bg1"/>
              </a:solidFill>
            </a:rPr>
            <a:t>2. Average study</a:t>
          </a:r>
          <a:r>
            <a:rPr lang="en-GB" sz="1000" baseline="0">
              <a:solidFill>
                <a:schemeClr val="bg1"/>
              </a:solidFill>
            </a:rPr>
            <a:t> hours</a:t>
          </a:r>
        </a:p>
        <a:p>
          <a:pPr algn="l"/>
          <a:r>
            <a:rPr lang="en-GB" sz="1000" baseline="0">
              <a:solidFill>
                <a:schemeClr val="bg1"/>
              </a:solidFill>
            </a:rPr>
            <a:t>3. Effect of attendance percent on exam grade</a:t>
          </a:r>
        </a:p>
        <a:p>
          <a:pPr algn="l"/>
          <a:r>
            <a:rPr lang="en-GB" sz="1000" baseline="0">
              <a:solidFill>
                <a:schemeClr val="bg1"/>
              </a:solidFill>
            </a:rPr>
            <a:t>4. Student performance by exam grade</a:t>
          </a:r>
        </a:p>
        <a:p>
          <a:pPr algn="l"/>
          <a:r>
            <a:rPr lang="en-GB" sz="1000" baseline="0">
              <a:solidFill>
                <a:schemeClr val="bg1"/>
              </a:solidFill>
            </a:rPr>
            <a:t>5. Effect of attendance on previous score grade</a:t>
          </a:r>
        </a:p>
        <a:p>
          <a:pPr algn="l"/>
          <a:r>
            <a:rPr lang="en-GB" sz="1000" baseline="0">
              <a:solidFill>
                <a:schemeClr val="bg1"/>
              </a:solidFill>
            </a:rPr>
            <a:t>6. How hours studied influence exam scores</a:t>
          </a:r>
        </a:p>
        <a:p>
          <a:pPr algn="l"/>
          <a:r>
            <a:rPr lang="en-GB" sz="1000" baseline="0">
              <a:solidFill>
                <a:schemeClr val="bg1"/>
              </a:solidFill>
            </a:rPr>
            <a:t>7. Student with least performance</a:t>
          </a:r>
        </a:p>
        <a:p>
          <a:pPr algn="l"/>
          <a:endParaRPr lang="en-GB" sz="1000" baseline="0">
            <a:solidFill>
              <a:schemeClr val="bg1"/>
            </a:solidFill>
          </a:endParaRPr>
        </a:p>
        <a:p>
          <a:pPr algn="l"/>
          <a:r>
            <a:rPr lang="en-GB" sz="1000" baseline="0">
              <a:solidFill>
                <a:schemeClr val="bg1"/>
              </a:solidFill>
            </a:rPr>
            <a:t>POTENTIAL COLUMN TO APPEND</a:t>
          </a:r>
        </a:p>
        <a:p>
          <a:pPr algn="l"/>
          <a:r>
            <a:rPr lang="en-GB" sz="1000">
              <a:solidFill>
                <a:schemeClr val="bg1"/>
              </a:solidFill>
            </a:rPr>
            <a:t>Exam grade</a:t>
          </a:r>
        </a:p>
        <a:p>
          <a:pPr algn="l"/>
          <a:r>
            <a:rPr lang="en-GB" sz="1000">
              <a:solidFill>
                <a:schemeClr val="bg1"/>
              </a:solidFill>
            </a:rPr>
            <a:t>Previous</a:t>
          </a:r>
          <a:r>
            <a:rPr lang="en-GB" sz="1000" baseline="0">
              <a:solidFill>
                <a:schemeClr val="bg1"/>
              </a:solidFill>
            </a:rPr>
            <a:t> score grade</a:t>
          </a:r>
        </a:p>
        <a:p>
          <a:pPr algn="l"/>
          <a:r>
            <a:rPr lang="en-GB" sz="1000" baseline="0">
              <a:solidFill>
                <a:schemeClr val="bg1"/>
              </a:solidFill>
            </a:rPr>
            <a:t>Subjects offered</a:t>
          </a:r>
          <a:endParaRPr lang="en-NG" sz="1000">
            <a:solidFill>
              <a:schemeClr val="bg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209550</xdr:colOff>
      <xdr:row>0</xdr:row>
      <xdr:rowOff>82550</xdr:rowOff>
    </xdr:from>
    <xdr:to>
      <xdr:col>7</xdr:col>
      <xdr:colOff>139700</xdr:colOff>
      <xdr:row>13</xdr:row>
      <xdr:rowOff>31750</xdr:rowOff>
    </xdr:to>
    <xdr:sp macro="" textlink="">
      <xdr:nvSpPr>
        <xdr:cNvPr id="2" name="Rectangle 1">
          <a:extLst>
            <a:ext uri="{FF2B5EF4-FFF2-40B4-BE49-F238E27FC236}">
              <a16:creationId xmlns:a16="http://schemas.microsoft.com/office/drawing/2014/main" id="{2C16615A-2FE8-40A9-B17C-95C7145B3ABC}"/>
            </a:ext>
          </a:extLst>
        </xdr:cNvPr>
        <xdr:cNvSpPr/>
      </xdr:nvSpPr>
      <xdr:spPr>
        <a:xfrm>
          <a:off x="209550" y="8255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6">
                  <a:lumMod val="50000"/>
                </a:schemeClr>
              </a:solidFill>
            </a:rPr>
            <a:t>Students with best performance</a:t>
          </a:r>
        </a:p>
        <a:p>
          <a:pPr algn="l"/>
          <a:r>
            <a:rPr lang="en-GB" sz="950">
              <a:solidFill>
                <a:schemeClr val="accent6">
                  <a:lumMod val="50000"/>
                </a:schemeClr>
              </a:solidFill>
            </a:rPr>
            <a:t>Observation</a:t>
          </a:r>
        </a:p>
        <a:p>
          <a:pPr algn="l"/>
          <a:r>
            <a:rPr lang="en-GB" sz="950">
              <a:solidFill>
                <a:schemeClr val="accent6">
                  <a:lumMod val="50000"/>
                </a:schemeClr>
              </a:solidFill>
            </a:rPr>
            <a:t>- The student with the best performance is</a:t>
          </a:r>
          <a:r>
            <a:rPr lang="en-GB" sz="950" baseline="0">
              <a:solidFill>
                <a:schemeClr val="accent6">
                  <a:lumMod val="50000"/>
                </a:schemeClr>
              </a:solidFill>
            </a:rPr>
            <a:t> the student with the ID S087, with an exam score of 51.3</a:t>
          </a:r>
        </a:p>
        <a:p>
          <a:pPr algn="l"/>
          <a:r>
            <a:rPr lang="en-GB" sz="950" baseline="0">
              <a:solidFill>
                <a:schemeClr val="accent6">
                  <a:lumMod val="50000"/>
                </a:schemeClr>
              </a:solidFill>
            </a:rPr>
            <a:t>- Student ID S084 had the second best exam score of 48.9</a:t>
          </a:r>
        </a:p>
        <a:p>
          <a:pPr algn="l"/>
          <a:r>
            <a:rPr lang="en-GB" sz="950" baseline="0">
              <a:solidFill>
                <a:schemeClr val="accent6">
                  <a:lumMod val="50000"/>
                </a:schemeClr>
              </a:solidFill>
            </a:rPr>
            <a:t>- Included in the top 10 best students are:</a:t>
          </a:r>
        </a:p>
        <a:p>
          <a:pPr marL="0" marR="0" lvl="0" indent="0" algn="l" defTabSz="914400" eaLnBrk="1" fontAlgn="auto" latinLnBrk="0" hangingPunct="1">
            <a:lnSpc>
              <a:spcPct val="100000"/>
            </a:lnSpc>
            <a:spcBef>
              <a:spcPts val="0"/>
            </a:spcBef>
            <a:spcAft>
              <a:spcPts val="0"/>
            </a:spcAft>
            <a:buClrTx/>
            <a:buSzTx/>
            <a:buFontTx/>
            <a:buNone/>
            <a:tabLst/>
            <a:defRPr/>
          </a:pPr>
          <a:r>
            <a:rPr lang="en-GB" sz="900" b="0" i="0" u="none" strike="noStrike">
              <a:solidFill>
                <a:schemeClr val="accent6">
                  <a:lumMod val="50000"/>
                </a:schemeClr>
              </a:solidFill>
              <a:effectLst/>
              <a:latin typeface="+mn-lt"/>
              <a:ea typeface="+mn-ea"/>
              <a:cs typeface="+mn-cs"/>
            </a:rPr>
            <a:t>S061</a:t>
          </a:r>
          <a:r>
            <a:rPr lang="en-GB" sz="900" b="0" i="0" u="none" strike="noStrike" baseline="0">
              <a:solidFill>
                <a:schemeClr val="accent6">
                  <a:lumMod val="50000"/>
                </a:schemeClr>
              </a:solidFill>
              <a:effectLst/>
              <a:latin typeface="+mn-lt"/>
              <a:ea typeface="+mn-ea"/>
              <a:cs typeface="+mn-cs"/>
            </a:rPr>
            <a:t> -</a:t>
          </a:r>
          <a:r>
            <a:rPr lang="en-GB" sz="900">
              <a:solidFill>
                <a:schemeClr val="accent6">
                  <a:lumMod val="50000"/>
                </a:schemeClr>
              </a:solidFill>
            </a:rPr>
            <a:t> </a:t>
          </a:r>
          <a:r>
            <a:rPr lang="en-GB" sz="900" b="0" i="0" u="none" strike="noStrike">
              <a:solidFill>
                <a:schemeClr val="accent6">
                  <a:lumMod val="50000"/>
                </a:schemeClr>
              </a:solidFill>
              <a:effectLst/>
              <a:latin typeface="+mn-lt"/>
              <a:ea typeface="+mn-ea"/>
              <a:cs typeface="+mn-cs"/>
            </a:rPr>
            <a:t>48.6</a:t>
          </a:r>
          <a:r>
            <a:rPr lang="en-GB" sz="900">
              <a:solidFill>
                <a:schemeClr val="accent6">
                  <a:lumMod val="50000"/>
                </a:schemeClr>
              </a:solidFill>
            </a:rPr>
            <a:t> 	</a:t>
          </a:r>
          <a:r>
            <a:rPr lang="en-GB" sz="900" b="0" i="0">
              <a:solidFill>
                <a:schemeClr val="accent6">
                  <a:lumMod val="50000"/>
                </a:schemeClr>
              </a:solidFill>
              <a:effectLst/>
              <a:latin typeface="+mn-lt"/>
              <a:ea typeface="+mn-ea"/>
              <a:cs typeface="+mn-cs"/>
            </a:rPr>
            <a:t>S116</a:t>
          </a:r>
          <a:r>
            <a:rPr lang="en-GB" sz="900">
              <a:solidFill>
                <a:schemeClr val="accent6">
                  <a:lumMod val="50000"/>
                </a:schemeClr>
              </a:solidFill>
              <a:effectLst/>
              <a:latin typeface="+mn-lt"/>
              <a:ea typeface="+mn-ea"/>
              <a:cs typeface="+mn-cs"/>
            </a:rPr>
            <a:t> - </a:t>
          </a:r>
          <a:r>
            <a:rPr lang="en-GB" sz="900" b="0" i="0">
              <a:solidFill>
                <a:schemeClr val="accent6">
                  <a:lumMod val="50000"/>
                </a:schemeClr>
              </a:solidFill>
              <a:effectLst/>
              <a:latin typeface="+mn-lt"/>
              <a:ea typeface="+mn-ea"/>
              <a:cs typeface="+mn-cs"/>
            </a:rPr>
            <a:t>46.4</a:t>
          </a:r>
          <a:r>
            <a:rPr lang="en-GB" sz="900">
              <a:solidFill>
                <a:schemeClr val="accent6">
                  <a:lumMod val="50000"/>
                </a:schemeClr>
              </a:solidFill>
              <a:effectLst/>
              <a:latin typeface="+mn-lt"/>
              <a:ea typeface="+mn-ea"/>
              <a:cs typeface="+mn-cs"/>
            </a:rPr>
            <a:t> </a:t>
          </a:r>
          <a:endParaRPr lang="en-GB" sz="900">
            <a:solidFill>
              <a:schemeClr val="accent6">
                <a:lumMod val="50000"/>
              </a:schemeClr>
            </a:solidFill>
          </a:endParaRPr>
        </a:p>
        <a:p>
          <a:pPr algn="l"/>
          <a:r>
            <a:rPr lang="en-GB" sz="900" b="0" i="0" u="none" strike="noStrike">
              <a:solidFill>
                <a:schemeClr val="accent6">
                  <a:lumMod val="50000"/>
                </a:schemeClr>
              </a:solidFill>
              <a:effectLst/>
              <a:latin typeface="+mn-lt"/>
              <a:ea typeface="+mn-ea"/>
              <a:cs typeface="+mn-cs"/>
            </a:rPr>
            <a:t>S072</a:t>
          </a:r>
          <a:r>
            <a:rPr lang="en-GB" sz="900">
              <a:solidFill>
                <a:schemeClr val="accent6">
                  <a:lumMod val="50000"/>
                </a:schemeClr>
              </a:solidFill>
            </a:rPr>
            <a:t> -</a:t>
          </a:r>
          <a:r>
            <a:rPr lang="en-GB" sz="900" baseline="0">
              <a:solidFill>
                <a:schemeClr val="accent6">
                  <a:lumMod val="50000"/>
                </a:schemeClr>
              </a:solidFill>
            </a:rPr>
            <a:t> </a:t>
          </a:r>
          <a:r>
            <a:rPr lang="en-GB" sz="900" b="0" i="0" u="none" strike="noStrike">
              <a:solidFill>
                <a:schemeClr val="accent6">
                  <a:lumMod val="50000"/>
                </a:schemeClr>
              </a:solidFill>
              <a:effectLst/>
              <a:latin typeface="+mn-lt"/>
              <a:ea typeface="+mn-ea"/>
              <a:cs typeface="+mn-cs"/>
            </a:rPr>
            <a:t>47.9</a:t>
          </a:r>
          <a:r>
            <a:rPr lang="en-GB" sz="900">
              <a:solidFill>
                <a:schemeClr val="accent6">
                  <a:lumMod val="50000"/>
                </a:schemeClr>
              </a:solidFill>
            </a:rPr>
            <a:t> 	S054 - 46.4</a:t>
          </a:r>
        </a:p>
        <a:p>
          <a:pPr algn="l"/>
          <a:r>
            <a:rPr lang="en-GB" sz="900" b="0" i="0" u="none" strike="noStrike">
              <a:solidFill>
                <a:schemeClr val="accent6">
                  <a:lumMod val="50000"/>
                </a:schemeClr>
              </a:solidFill>
              <a:effectLst/>
              <a:latin typeface="+mn-lt"/>
              <a:ea typeface="+mn-ea"/>
              <a:cs typeface="+mn-cs"/>
            </a:rPr>
            <a:t>S121</a:t>
          </a:r>
          <a:r>
            <a:rPr lang="en-GB" sz="900">
              <a:solidFill>
                <a:schemeClr val="accent6">
                  <a:lumMod val="50000"/>
                </a:schemeClr>
              </a:solidFill>
            </a:rPr>
            <a:t> - </a:t>
          </a:r>
          <a:r>
            <a:rPr lang="en-GB" sz="900" b="0" i="0" u="none" strike="noStrike">
              <a:solidFill>
                <a:schemeClr val="accent6">
                  <a:lumMod val="50000"/>
                </a:schemeClr>
              </a:solidFill>
              <a:effectLst/>
              <a:latin typeface="+mn-lt"/>
              <a:ea typeface="+mn-ea"/>
              <a:cs typeface="+mn-cs"/>
            </a:rPr>
            <a:t>47.9</a:t>
          </a:r>
          <a:r>
            <a:rPr lang="en-GB" sz="900">
              <a:solidFill>
                <a:schemeClr val="accent6">
                  <a:lumMod val="50000"/>
                </a:schemeClr>
              </a:solidFill>
            </a:rPr>
            <a:t> 	S021 - 46</a:t>
          </a:r>
        </a:p>
        <a:p>
          <a:pPr algn="l"/>
          <a:r>
            <a:rPr lang="en-GB" sz="900" b="0" i="0" u="none" strike="noStrike">
              <a:solidFill>
                <a:schemeClr val="accent6">
                  <a:lumMod val="50000"/>
                </a:schemeClr>
              </a:solidFill>
              <a:effectLst/>
              <a:latin typeface="+mn-lt"/>
              <a:ea typeface="+mn-ea"/>
              <a:cs typeface="+mn-cs"/>
            </a:rPr>
            <a:t>S194</a:t>
          </a:r>
          <a:r>
            <a:rPr lang="en-GB" sz="900">
              <a:solidFill>
                <a:schemeClr val="accent6">
                  <a:lumMod val="50000"/>
                </a:schemeClr>
              </a:solidFill>
            </a:rPr>
            <a:t> - </a:t>
          </a:r>
          <a:r>
            <a:rPr lang="en-GB" sz="900" b="0" i="0" u="none" strike="noStrike">
              <a:solidFill>
                <a:schemeClr val="accent6">
                  <a:lumMod val="50000"/>
                </a:schemeClr>
              </a:solidFill>
              <a:effectLst/>
              <a:latin typeface="+mn-lt"/>
              <a:ea typeface="+mn-ea"/>
              <a:cs typeface="+mn-cs"/>
            </a:rPr>
            <a:t>46.7</a:t>
          </a:r>
          <a:r>
            <a:rPr lang="en-GB" sz="900">
              <a:solidFill>
                <a:schemeClr val="accent6">
                  <a:lumMod val="50000"/>
                </a:schemeClr>
              </a:solidFill>
            </a:rPr>
            <a:t> 	S147 - 45.8</a:t>
          </a:r>
        </a:p>
        <a:p>
          <a:pPr algn="l"/>
          <a:endParaRPr lang="en-GB" sz="950">
            <a:solidFill>
              <a:schemeClr val="accent6">
                <a:lumMod val="50000"/>
              </a:schemeClr>
            </a:solidFill>
          </a:endParaRPr>
        </a:p>
        <a:p>
          <a:pPr algn="l"/>
          <a:r>
            <a:rPr lang="en-GB" sz="950">
              <a:solidFill>
                <a:schemeClr val="accent6">
                  <a:lumMod val="50000"/>
                </a:schemeClr>
              </a:solidFill>
            </a:rPr>
            <a:t>Pre-insight</a:t>
          </a:r>
        </a:p>
        <a:p>
          <a:pPr algn="l"/>
          <a:r>
            <a:rPr lang="en-GB" sz="950">
              <a:solidFill>
                <a:schemeClr val="accent6">
                  <a:lumMod val="50000"/>
                </a:schemeClr>
              </a:solidFill>
            </a:rPr>
            <a:t>- What are the top 10 students doing differently?</a:t>
          </a:r>
        </a:p>
        <a:p>
          <a:pPr algn="l"/>
          <a:r>
            <a:rPr lang="en-GB" sz="950">
              <a:solidFill>
                <a:schemeClr val="accent6">
                  <a:lumMod val="50000"/>
                </a:schemeClr>
              </a:solidFill>
            </a:rPr>
            <a:t>- Can their</a:t>
          </a:r>
          <a:r>
            <a:rPr lang="en-GB" sz="950" baseline="0">
              <a:solidFill>
                <a:schemeClr val="accent6">
                  <a:lumMod val="50000"/>
                </a:schemeClr>
              </a:solidFill>
            </a:rPr>
            <a:t> academic success be replicated in other poorly performing students?</a:t>
          </a:r>
          <a:endParaRPr lang="en-NG" sz="950">
            <a:solidFill>
              <a:schemeClr val="accent6">
                <a:lumMod val="50000"/>
              </a:schemeClr>
            </a:solidFill>
          </a:endParaRPr>
        </a:p>
      </xdr:txBody>
    </xdr:sp>
    <xdr:clientData/>
  </xdr:twoCellAnchor>
  <xdr:twoCellAnchor>
    <xdr:from>
      <xdr:col>0</xdr:col>
      <xdr:colOff>190500</xdr:colOff>
      <xdr:row>14</xdr:row>
      <xdr:rowOff>133350</xdr:rowOff>
    </xdr:from>
    <xdr:to>
      <xdr:col>7</xdr:col>
      <xdr:colOff>120650</xdr:colOff>
      <xdr:row>27</xdr:row>
      <xdr:rowOff>82550</xdr:rowOff>
    </xdr:to>
    <xdr:sp macro="" textlink="">
      <xdr:nvSpPr>
        <xdr:cNvPr id="3" name="Rectangle 2">
          <a:extLst>
            <a:ext uri="{FF2B5EF4-FFF2-40B4-BE49-F238E27FC236}">
              <a16:creationId xmlns:a16="http://schemas.microsoft.com/office/drawing/2014/main" id="{4958BFFB-3CAE-4C13-BAE0-36D8ED441BFF}"/>
            </a:ext>
          </a:extLst>
        </xdr:cNvPr>
        <xdr:cNvSpPr/>
      </xdr:nvSpPr>
      <xdr:spPr>
        <a:xfrm>
          <a:off x="190500" y="271145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Average study hours</a:t>
          </a:r>
          <a:endParaRPr lang="en-GB" sz="1000" baseline="0">
            <a:solidFill>
              <a:schemeClr val="bg1"/>
            </a:solidFill>
          </a:endParaRPr>
        </a:p>
        <a:p>
          <a:pPr algn="l"/>
          <a:r>
            <a:rPr lang="en-GB" sz="1000" baseline="0">
              <a:solidFill>
                <a:schemeClr val="bg1"/>
              </a:solidFill>
            </a:rPr>
            <a:t>Observation</a:t>
          </a:r>
        </a:p>
        <a:p>
          <a:pPr algn="l"/>
          <a:r>
            <a:rPr lang="en-GB" sz="1000" baseline="0">
              <a:solidFill>
                <a:schemeClr val="bg1"/>
              </a:solidFill>
            </a:rPr>
            <a:t>- The top average study hour by a student is 12 hours</a:t>
          </a:r>
        </a:p>
        <a:p>
          <a:pPr algn="l"/>
          <a:r>
            <a:rPr lang="en-GB" sz="1000" baseline="0">
              <a:solidFill>
                <a:schemeClr val="bg1"/>
              </a:solidFill>
            </a:rPr>
            <a:t>- There were 3 students with an average hour of 12, including the best student  ID S087 </a:t>
          </a:r>
        </a:p>
        <a:p>
          <a:pPr algn="l"/>
          <a:r>
            <a:rPr lang="en-GB" sz="1000" baseline="0">
              <a:solidFill>
                <a:schemeClr val="bg1"/>
              </a:solidFill>
            </a:rPr>
            <a:t>- Most of the students who performed well, spent more hours to study</a:t>
          </a:r>
        </a:p>
        <a:p>
          <a:pPr algn="l"/>
          <a:r>
            <a:rPr lang="en-GB" sz="1000" baseline="0">
              <a:solidFill>
                <a:schemeClr val="bg1"/>
              </a:solidFill>
            </a:rPr>
            <a:t>- The students with poor exam performance, spent less time studying</a:t>
          </a:r>
        </a:p>
        <a:p>
          <a:pPr algn="l"/>
          <a:endParaRPr lang="en-GB" sz="1000" baseline="0">
            <a:solidFill>
              <a:schemeClr val="bg1"/>
            </a:solidFill>
          </a:endParaRPr>
        </a:p>
        <a:p>
          <a:pPr algn="l"/>
          <a:r>
            <a:rPr lang="en-GB" sz="1000" baseline="0">
              <a:solidFill>
                <a:schemeClr val="bg1"/>
              </a:solidFill>
            </a:rPr>
            <a:t>Pre-insight</a:t>
          </a:r>
        </a:p>
        <a:p>
          <a:pPr algn="l"/>
          <a:r>
            <a:rPr lang="en-GB" sz="1000" baseline="0">
              <a:solidFill>
                <a:schemeClr val="bg1"/>
              </a:solidFill>
            </a:rPr>
            <a:t>- Is study time proprtional to exam score?</a:t>
          </a:r>
        </a:p>
        <a:p>
          <a:pPr algn="l"/>
          <a:r>
            <a:rPr lang="en-GB" sz="1000" baseline="0">
              <a:solidFill>
                <a:schemeClr val="bg1"/>
              </a:solidFill>
            </a:rPr>
            <a:t>- What is the average study hour?</a:t>
          </a:r>
        </a:p>
        <a:p>
          <a:pPr algn="l"/>
          <a:r>
            <a:rPr lang="en-GB" sz="1000" baseline="0">
              <a:solidFill>
                <a:schemeClr val="bg1"/>
              </a:solidFill>
            </a:rPr>
            <a:t>- How can students be encouraged to study longer?</a:t>
          </a:r>
          <a:endParaRPr lang="en-NG" sz="1000">
            <a:solidFill>
              <a:schemeClr val="bg1"/>
            </a:solidFill>
          </a:endParaRPr>
        </a:p>
      </xdr:txBody>
    </xdr:sp>
    <xdr:clientData/>
  </xdr:twoCellAnchor>
  <xdr:twoCellAnchor>
    <xdr:from>
      <xdr:col>8</xdr:col>
      <xdr:colOff>152400</xdr:colOff>
      <xdr:row>14</xdr:row>
      <xdr:rowOff>107950</xdr:rowOff>
    </xdr:from>
    <xdr:to>
      <xdr:col>15</xdr:col>
      <xdr:colOff>82550</xdr:colOff>
      <xdr:row>27</xdr:row>
      <xdr:rowOff>57150</xdr:rowOff>
    </xdr:to>
    <xdr:sp macro="" textlink="">
      <xdr:nvSpPr>
        <xdr:cNvPr id="4" name="Rectangle 3">
          <a:extLst>
            <a:ext uri="{FF2B5EF4-FFF2-40B4-BE49-F238E27FC236}">
              <a16:creationId xmlns:a16="http://schemas.microsoft.com/office/drawing/2014/main" id="{53E08E9C-5162-41BE-893F-29BCB3EE855B}"/>
            </a:ext>
          </a:extLst>
        </xdr:cNvPr>
        <xdr:cNvSpPr/>
      </xdr:nvSpPr>
      <xdr:spPr>
        <a:xfrm>
          <a:off x="5029200" y="268605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100" b="0" i="0" baseline="0">
              <a:solidFill>
                <a:schemeClr val="accent6">
                  <a:lumMod val="50000"/>
                </a:schemeClr>
              </a:solidFill>
              <a:effectLst/>
              <a:latin typeface="+mn-lt"/>
              <a:ea typeface="+mn-ea"/>
              <a:cs typeface="+mn-cs"/>
            </a:rPr>
            <a:t>Effect of attendance percent on exam grade</a:t>
          </a:r>
          <a:endParaRPr lang="en-NG" sz="1000">
            <a:solidFill>
              <a:schemeClr val="accent6">
                <a:lumMod val="50000"/>
              </a:schemeClr>
            </a:solidFill>
            <a:effectLst/>
          </a:endParaRPr>
        </a:p>
        <a:p>
          <a:pPr algn="l"/>
          <a:r>
            <a:rPr lang="en-GB" sz="950" baseline="0">
              <a:solidFill>
                <a:schemeClr val="accent6">
                  <a:lumMod val="50000"/>
                </a:schemeClr>
              </a:solidFill>
            </a:rPr>
            <a:t>Observation</a:t>
          </a:r>
        </a:p>
        <a:p>
          <a:pPr algn="l"/>
          <a:r>
            <a:rPr lang="en-GB" sz="950" baseline="0">
              <a:solidFill>
                <a:schemeClr val="accent6">
                  <a:lumMod val="50000"/>
                </a:schemeClr>
              </a:solidFill>
            </a:rPr>
            <a:t>- 51 Students who spend 80-90% study time had exam grades ranging from B-E </a:t>
          </a:r>
        </a:p>
        <a:p>
          <a:pPr algn="l"/>
          <a:r>
            <a:rPr lang="en-GB" sz="950" baseline="0">
              <a:solidFill>
                <a:schemeClr val="accent6">
                  <a:lumMod val="50000"/>
                </a:schemeClr>
              </a:solidFill>
            </a:rPr>
            <a:t>- 41 students who spent 60-70% study time had exam grades ranging from B-E</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accent6">
                  <a:lumMod val="50000"/>
                </a:schemeClr>
              </a:solidFill>
              <a:effectLst/>
              <a:latin typeface="+mn-lt"/>
              <a:ea typeface="+mn-ea"/>
              <a:cs typeface="+mn-cs"/>
            </a:rPr>
            <a:t>- 37 students who spent 50-60% study time had exam grades ranging from B-F</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accent6">
                  <a:lumMod val="50000"/>
                </a:schemeClr>
              </a:solidFill>
              <a:effectLst/>
              <a:latin typeface="+mn-lt"/>
              <a:ea typeface="+mn-ea"/>
              <a:cs typeface="+mn-cs"/>
            </a:rPr>
            <a:t>- 36 students who spent 70-80% study time had exam grades ranging from A-F</a:t>
          </a:r>
        </a:p>
        <a:p>
          <a:pPr marL="0" marR="0" lvl="0" indent="0" algn="l" defTabSz="914400" eaLnBrk="1" fontAlgn="auto" latinLnBrk="0" hangingPunct="1">
            <a:lnSpc>
              <a:spcPct val="100000"/>
            </a:lnSpc>
            <a:spcBef>
              <a:spcPts val="0"/>
            </a:spcBef>
            <a:spcAft>
              <a:spcPts val="0"/>
            </a:spcAft>
            <a:buClrTx/>
            <a:buSzTx/>
            <a:buFontTx/>
            <a:buNone/>
            <a:tabLst/>
            <a:defRPr/>
          </a:pPr>
          <a:r>
            <a:rPr lang="en-GB" sz="1000" baseline="0">
              <a:solidFill>
                <a:schemeClr val="accent6">
                  <a:lumMod val="50000"/>
                </a:schemeClr>
              </a:solidFill>
              <a:effectLst/>
              <a:latin typeface="+mn-lt"/>
              <a:ea typeface="+mn-ea"/>
              <a:cs typeface="+mn-cs"/>
            </a:rPr>
            <a:t>- 35 students who spent 90-100% study time had exam grades reanging from B-E</a:t>
          </a:r>
          <a:endParaRPr lang="en-NG" sz="1000">
            <a:solidFill>
              <a:schemeClr val="accent6">
                <a:lumMod val="50000"/>
              </a:schemeClr>
            </a:solidFill>
            <a:effectLst/>
          </a:endParaRPr>
        </a:p>
        <a:p>
          <a:pPr algn="l"/>
          <a:endParaRPr lang="en-GB" sz="950" baseline="0">
            <a:solidFill>
              <a:schemeClr val="accent6">
                <a:lumMod val="50000"/>
              </a:schemeClr>
            </a:solidFill>
          </a:endParaRPr>
        </a:p>
        <a:p>
          <a:pPr algn="l"/>
          <a:r>
            <a:rPr lang="en-GB" sz="950" baseline="0">
              <a:solidFill>
                <a:schemeClr val="accent6">
                  <a:lumMod val="50000"/>
                </a:schemeClr>
              </a:solidFill>
            </a:rPr>
            <a:t>Pre-insight</a:t>
          </a:r>
        </a:p>
        <a:p>
          <a:pPr algn="l"/>
          <a:r>
            <a:rPr lang="en-GB" sz="950" baseline="0">
              <a:solidFill>
                <a:schemeClr val="accent6">
                  <a:lumMod val="50000"/>
                </a:schemeClr>
              </a:solidFill>
            </a:rPr>
            <a:t>- Is student attendance proportional to exam scores?</a:t>
          </a:r>
        </a:p>
        <a:p>
          <a:pPr algn="l"/>
          <a:r>
            <a:rPr lang="en-GB" sz="950" baseline="0">
              <a:solidFill>
                <a:schemeClr val="accent6">
                  <a:lumMod val="50000"/>
                </a:schemeClr>
              </a:solidFill>
            </a:rPr>
            <a:t>- What is the average attendance percent?</a:t>
          </a:r>
          <a:endParaRPr lang="en-NG" sz="950">
            <a:solidFill>
              <a:schemeClr val="accent6">
                <a:lumMod val="50000"/>
              </a:schemeClr>
            </a:solidFill>
          </a:endParaRPr>
        </a:p>
      </xdr:txBody>
    </xdr:sp>
    <xdr:clientData/>
  </xdr:twoCellAnchor>
  <xdr:twoCellAnchor>
    <xdr:from>
      <xdr:col>8</xdr:col>
      <xdr:colOff>158750</xdr:colOff>
      <xdr:row>0</xdr:row>
      <xdr:rowOff>101600</xdr:rowOff>
    </xdr:from>
    <xdr:to>
      <xdr:col>15</xdr:col>
      <xdr:colOff>88900</xdr:colOff>
      <xdr:row>13</xdr:row>
      <xdr:rowOff>50800</xdr:rowOff>
    </xdr:to>
    <xdr:sp macro="" textlink="">
      <xdr:nvSpPr>
        <xdr:cNvPr id="5" name="Rectangle 4">
          <a:extLst>
            <a:ext uri="{FF2B5EF4-FFF2-40B4-BE49-F238E27FC236}">
              <a16:creationId xmlns:a16="http://schemas.microsoft.com/office/drawing/2014/main" id="{003F4A9C-F461-4421-BDCA-586BD7865C9A}"/>
            </a:ext>
          </a:extLst>
        </xdr:cNvPr>
        <xdr:cNvSpPr/>
      </xdr:nvSpPr>
      <xdr:spPr>
        <a:xfrm>
          <a:off x="5035550" y="10160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Students with least performance</a:t>
          </a:r>
        </a:p>
        <a:p>
          <a:pPr algn="l"/>
          <a:r>
            <a:rPr lang="en-GB" sz="1000">
              <a:solidFill>
                <a:schemeClr val="bg1"/>
              </a:solidFill>
            </a:rPr>
            <a:t>Observation</a:t>
          </a:r>
        </a:p>
        <a:p>
          <a:pPr algn="l"/>
          <a:r>
            <a:rPr lang="en-GB" sz="1000">
              <a:solidFill>
                <a:schemeClr val="bg1"/>
              </a:solidFill>
            </a:rPr>
            <a:t>- The student with the least performance is the student with the ID S020, with an exam score of 17.1</a:t>
          </a:r>
        </a:p>
        <a:p>
          <a:pPr algn="l"/>
          <a:r>
            <a:rPr lang="en-GB" sz="1000">
              <a:solidFill>
                <a:schemeClr val="bg1"/>
              </a:solidFill>
            </a:rPr>
            <a:t>- Other students in the bottom 10 with low performance are:</a:t>
          </a:r>
        </a:p>
        <a:p>
          <a:pPr algn="l"/>
          <a:r>
            <a:rPr lang="en-GB" sz="1000" b="0" i="0" u="none" strike="noStrike">
              <a:solidFill>
                <a:schemeClr val="lt1"/>
              </a:solidFill>
              <a:effectLst/>
              <a:latin typeface="+mn-lt"/>
              <a:ea typeface="+mn-ea"/>
              <a:cs typeface="+mn-cs"/>
            </a:rPr>
            <a:t>S186</a:t>
          </a:r>
          <a:r>
            <a:rPr lang="en-GB" sz="1000"/>
            <a:t> - </a:t>
          </a:r>
          <a:r>
            <a:rPr lang="en-GB" sz="1000" b="0" i="0" u="none" strike="noStrike">
              <a:solidFill>
                <a:schemeClr val="lt1"/>
              </a:solidFill>
              <a:effectLst/>
              <a:latin typeface="+mn-lt"/>
              <a:ea typeface="+mn-ea"/>
              <a:cs typeface="+mn-cs"/>
            </a:rPr>
            <a:t>22.9,</a:t>
          </a:r>
          <a:r>
            <a:rPr lang="en-GB" sz="1000"/>
            <a:t> </a:t>
          </a:r>
          <a:r>
            <a:rPr lang="en-GB" sz="1000" b="0" i="0" u="none" strike="noStrike">
              <a:solidFill>
                <a:schemeClr val="lt1"/>
              </a:solidFill>
              <a:effectLst/>
              <a:latin typeface="+mn-lt"/>
              <a:ea typeface="+mn-ea"/>
              <a:cs typeface="+mn-cs"/>
            </a:rPr>
            <a:t>S170</a:t>
          </a:r>
          <a:r>
            <a:rPr lang="en-GB" sz="1000"/>
            <a:t> - </a:t>
          </a:r>
          <a:r>
            <a:rPr lang="en-GB" sz="1000" b="0" i="0" u="none" strike="noStrike">
              <a:solidFill>
                <a:schemeClr val="lt1"/>
              </a:solidFill>
              <a:effectLst/>
              <a:latin typeface="+mn-lt"/>
              <a:ea typeface="+mn-ea"/>
              <a:cs typeface="+mn-cs"/>
            </a:rPr>
            <a:t>22.8,</a:t>
          </a:r>
          <a:r>
            <a:rPr lang="en-GB" sz="1000"/>
            <a:t> </a:t>
          </a:r>
          <a:r>
            <a:rPr lang="en-GB" sz="1000" b="0" i="0" u="none" strike="noStrike">
              <a:solidFill>
                <a:schemeClr val="lt1"/>
              </a:solidFill>
              <a:effectLst/>
              <a:latin typeface="+mn-lt"/>
              <a:ea typeface="+mn-ea"/>
              <a:cs typeface="+mn-cs"/>
            </a:rPr>
            <a:t>S150</a:t>
          </a:r>
          <a:r>
            <a:rPr lang="en-GB" sz="1000"/>
            <a:t> - </a:t>
          </a:r>
          <a:r>
            <a:rPr lang="en-GB" sz="1000" b="0" i="0" u="none" strike="noStrike">
              <a:solidFill>
                <a:schemeClr val="lt1"/>
              </a:solidFill>
              <a:effectLst/>
              <a:latin typeface="+mn-lt"/>
              <a:ea typeface="+mn-ea"/>
              <a:cs typeface="+mn-cs"/>
            </a:rPr>
            <a:t>21.9,</a:t>
          </a:r>
          <a:r>
            <a:rPr lang="en-GB" sz="1000"/>
            <a:t> </a:t>
          </a:r>
          <a:r>
            <a:rPr lang="en-GB" sz="1000" b="0" i="0" u="none" strike="noStrike">
              <a:solidFill>
                <a:schemeClr val="lt1"/>
              </a:solidFill>
              <a:effectLst/>
              <a:latin typeface="+mn-lt"/>
              <a:ea typeface="+mn-ea"/>
              <a:cs typeface="+mn-cs"/>
            </a:rPr>
            <a:t>S067</a:t>
          </a:r>
          <a:r>
            <a:rPr lang="en-GB" sz="1000"/>
            <a:t> - </a:t>
          </a:r>
          <a:r>
            <a:rPr lang="en-GB" sz="1000" b="0" i="0" u="none" strike="noStrike">
              <a:solidFill>
                <a:schemeClr val="lt1"/>
              </a:solidFill>
              <a:effectLst/>
              <a:latin typeface="+mn-lt"/>
              <a:ea typeface="+mn-ea"/>
              <a:cs typeface="+mn-cs"/>
            </a:rPr>
            <a:t>21.7,</a:t>
          </a:r>
          <a:r>
            <a:rPr lang="en-GB" sz="1000"/>
            <a:t> </a:t>
          </a:r>
          <a:r>
            <a:rPr lang="en-GB" sz="1000" b="0" i="0" u="none" strike="noStrike">
              <a:solidFill>
                <a:schemeClr val="lt1"/>
              </a:solidFill>
              <a:effectLst/>
              <a:latin typeface="+mn-lt"/>
              <a:ea typeface="+mn-ea"/>
              <a:cs typeface="+mn-cs"/>
            </a:rPr>
            <a:t>S125 -</a:t>
          </a:r>
          <a:r>
            <a:rPr lang="en-GB" sz="1000"/>
            <a:t> </a:t>
          </a:r>
          <a:r>
            <a:rPr lang="en-GB" sz="1000" b="0" i="0" u="none" strike="noStrike">
              <a:solidFill>
                <a:schemeClr val="lt1"/>
              </a:solidFill>
              <a:effectLst/>
              <a:latin typeface="+mn-lt"/>
              <a:ea typeface="+mn-ea"/>
              <a:cs typeface="+mn-cs"/>
            </a:rPr>
            <a:t>21.2,</a:t>
          </a:r>
          <a:r>
            <a:rPr lang="en-GB" sz="1000"/>
            <a:t> </a:t>
          </a:r>
          <a:r>
            <a:rPr lang="en-GB" sz="1000" b="0" i="0" u="none" strike="noStrike">
              <a:solidFill>
                <a:schemeClr val="lt1"/>
              </a:solidFill>
              <a:effectLst/>
              <a:latin typeface="+mn-lt"/>
              <a:ea typeface="+mn-ea"/>
              <a:cs typeface="+mn-cs"/>
            </a:rPr>
            <a:t>S071 -</a:t>
          </a:r>
          <a:r>
            <a:rPr lang="en-GB" sz="1000"/>
            <a:t> </a:t>
          </a:r>
          <a:r>
            <a:rPr lang="en-GB" sz="1000" b="0" i="0" u="none" strike="noStrike">
              <a:solidFill>
                <a:schemeClr val="lt1"/>
              </a:solidFill>
              <a:effectLst/>
              <a:latin typeface="+mn-lt"/>
              <a:ea typeface="+mn-ea"/>
              <a:cs typeface="+mn-cs"/>
            </a:rPr>
            <a:t>20.8,</a:t>
          </a:r>
          <a:r>
            <a:rPr lang="en-GB" sz="1000"/>
            <a:t> </a:t>
          </a:r>
          <a:r>
            <a:rPr lang="en-GB" sz="1000" b="0" i="0" u="none" strike="noStrike">
              <a:solidFill>
                <a:schemeClr val="lt1"/>
              </a:solidFill>
              <a:effectLst/>
              <a:latin typeface="+mn-lt"/>
              <a:ea typeface="+mn-ea"/>
              <a:cs typeface="+mn-cs"/>
            </a:rPr>
            <a:t>S184</a:t>
          </a:r>
          <a:r>
            <a:rPr lang="en-GB" sz="1000" b="0" i="0" u="none" strike="noStrike" baseline="0">
              <a:solidFill>
                <a:schemeClr val="lt1"/>
              </a:solidFill>
              <a:effectLst/>
              <a:latin typeface="+mn-lt"/>
              <a:ea typeface="+mn-ea"/>
              <a:cs typeface="+mn-cs"/>
            </a:rPr>
            <a:t> -</a:t>
          </a:r>
          <a:r>
            <a:rPr lang="en-GB" sz="1000"/>
            <a:t> </a:t>
          </a:r>
          <a:r>
            <a:rPr lang="en-GB" sz="1000" b="0" i="0" u="none" strike="noStrike">
              <a:solidFill>
                <a:schemeClr val="lt1"/>
              </a:solidFill>
              <a:effectLst/>
              <a:latin typeface="+mn-lt"/>
              <a:ea typeface="+mn-ea"/>
              <a:cs typeface="+mn-cs"/>
            </a:rPr>
            <a:t>19.4,</a:t>
          </a:r>
          <a:r>
            <a:rPr lang="en-GB" sz="1000"/>
            <a:t> </a:t>
          </a:r>
          <a:r>
            <a:rPr lang="en-GB" sz="1000" b="0" i="0" u="none" strike="noStrike">
              <a:solidFill>
                <a:schemeClr val="lt1"/>
              </a:solidFill>
              <a:effectLst/>
              <a:latin typeface="+mn-lt"/>
              <a:ea typeface="+mn-ea"/>
              <a:cs typeface="+mn-cs"/>
            </a:rPr>
            <a:t>S143</a:t>
          </a:r>
          <a:r>
            <a:rPr lang="en-GB" sz="1000"/>
            <a:t> - </a:t>
          </a:r>
          <a:r>
            <a:rPr lang="en-GB" sz="1000" b="0" i="0" u="none" strike="noStrike">
              <a:solidFill>
                <a:schemeClr val="lt1"/>
              </a:solidFill>
              <a:effectLst/>
              <a:latin typeface="+mn-lt"/>
              <a:ea typeface="+mn-ea"/>
              <a:cs typeface="+mn-cs"/>
            </a:rPr>
            <a:t>19,</a:t>
          </a:r>
          <a:r>
            <a:rPr lang="en-GB" sz="1000"/>
            <a:t> </a:t>
          </a:r>
          <a:r>
            <a:rPr lang="en-GB" sz="1000" b="0" i="0" u="none" strike="noStrike">
              <a:solidFill>
                <a:schemeClr val="lt1"/>
              </a:solidFill>
              <a:effectLst/>
              <a:latin typeface="+mn-lt"/>
              <a:ea typeface="+mn-ea"/>
              <a:cs typeface="+mn-cs"/>
            </a:rPr>
            <a:t>S008 -</a:t>
          </a:r>
          <a:r>
            <a:rPr lang="en-GB" sz="1000"/>
            <a:t> </a:t>
          </a:r>
          <a:r>
            <a:rPr lang="en-GB" sz="1000" b="0" i="0" u="none" strike="noStrike">
              <a:solidFill>
                <a:schemeClr val="lt1"/>
              </a:solidFill>
              <a:effectLst/>
              <a:latin typeface="+mn-lt"/>
              <a:ea typeface="+mn-ea"/>
              <a:cs typeface="+mn-cs"/>
            </a:rPr>
            <a:t>18.3.</a:t>
          </a:r>
          <a:r>
            <a:rPr lang="en-GB" sz="1000"/>
            <a:t> </a:t>
          </a:r>
          <a:endParaRPr lang="en-GB" sz="1000">
            <a:solidFill>
              <a:schemeClr val="bg1"/>
            </a:solidFill>
          </a:endParaRPr>
        </a:p>
        <a:p>
          <a:pPr algn="l"/>
          <a:endParaRPr lang="en-GB" sz="1000">
            <a:solidFill>
              <a:schemeClr val="bg1"/>
            </a:solidFill>
          </a:endParaRPr>
        </a:p>
        <a:p>
          <a:pPr algn="l"/>
          <a:r>
            <a:rPr lang="en-GB" sz="1000">
              <a:solidFill>
                <a:schemeClr val="bg1"/>
              </a:solidFill>
            </a:rPr>
            <a:t>Pre-insight</a:t>
          </a:r>
        </a:p>
        <a:p>
          <a:pPr algn="l"/>
          <a:r>
            <a:rPr lang="en-GB" sz="1000">
              <a:solidFill>
                <a:schemeClr val="bg1"/>
              </a:solidFill>
            </a:rPr>
            <a:t>- Evaluate student's strong and weak points</a:t>
          </a:r>
        </a:p>
        <a:p>
          <a:pPr algn="l"/>
          <a:r>
            <a:rPr lang="en-GB" sz="1000">
              <a:solidFill>
                <a:schemeClr val="bg1"/>
              </a:solidFill>
            </a:rPr>
            <a:t>- Does the students need extra</a:t>
          </a:r>
          <a:r>
            <a:rPr lang="en-GB" sz="1000" baseline="0">
              <a:solidFill>
                <a:schemeClr val="bg1"/>
              </a:solidFill>
            </a:rPr>
            <a:t> tutoring/ classes?</a:t>
          </a:r>
        </a:p>
        <a:p>
          <a:pPr algn="l"/>
          <a:r>
            <a:rPr lang="en-GB" sz="1000" baseline="0">
              <a:solidFill>
                <a:schemeClr val="bg1"/>
              </a:solidFill>
            </a:rPr>
            <a:t>- How much time does the student spend studying?</a:t>
          </a:r>
        </a:p>
        <a:p>
          <a:pPr algn="l"/>
          <a:r>
            <a:rPr lang="en-GB" sz="1000" baseline="0">
              <a:solidFill>
                <a:schemeClr val="bg1"/>
              </a:solidFill>
            </a:rPr>
            <a:t>- Re-evaluate teaching style</a:t>
          </a:r>
          <a:r>
            <a:rPr lang="en-GB" sz="1000">
              <a:solidFill>
                <a:schemeClr val="bg1"/>
              </a:solidFill>
            </a:rPr>
            <a:t> </a:t>
          </a:r>
          <a:endParaRPr lang="en-NG" sz="1000">
            <a:solidFill>
              <a:schemeClr val="bg1"/>
            </a:solidFill>
          </a:endParaRPr>
        </a:p>
      </xdr:txBody>
    </xdr:sp>
    <xdr:clientData/>
  </xdr:twoCellAnchor>
  <xdr:twoCellAnchor>
    <xdr:from>
      <xdr:col>15</xdr:col>
      <xdr:colOff>469900</xdr:colOff>
      <xdr:row>0</xdr:row>
      <xdr:rowOff>101600</xdr:rowOff>
    </xdr:from>
    <xdr:to>
      <xdr:col>22</xdr:col>
      <xdr:colOff>400050</xdr:colOff>
      <xdr:row>13</xdr:row>
      <xdr:rowOff>50800</xdr:rowOff>
    </xdr:to>
    <xdr:sp macro="" textlink="">
      <xdr:nvSpPr>
        <xdr:cNvPr id="6" name="Rectangle 5">
          <a:extLst>
            <a:ext uri="{FF2B5EF4-FFF2-40B4-BE49-F238E27FC236}">
              <a16:creationId xmlns:a16="http://schemas.microsoft.com/office/drawing/2014/main" id="{72C33556-2AFA-43AA-8FF4-5107B53F385E}"/>
            </a:ext>
          </a:extLst>
        </xdr:cNvPr>
        <xdr:cNvSpPr/>
      </xdr:nvSpPr>
      <xdr:spPr>
        <a:xfrm>
          <a:off x="9613900" y="10160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6">
                  <a:lumMod val="50000"/>
                </a:schemeClr>
              </a:solidFill>
            </a:rPr>
            <a:t>Students performance by exam grade</a:t>
          </a:r>
        </a:p>
        <a:p>
          <a:pPr algn="l"/>
          <a:r>
            <a:rPr lang="en-GB" sz="950">
              <a:solidFill>
                <a:schemeClr val="accent6">
                  <a:lumMod val="50000"/>
                </a:schemeClr>
              </a:solidFill>
            </a:rPr>
            <a:t>Observation</a:t>
          </a:r>
        </a:p>
        <a:p>
          <a:pPr algn="l"/>
          <a:r>
            <a:rPr lang="en-GB" sz="950">
              <a:solidFill>
                <a:schemeClr val="accent6">
                  <a:lumMod val="50000"/>
                </a:schemeClr>
              </a:solidFill>
            </a:rPr>
            <a:t>- 0.5%</a:t>
          </a:r>
          <a:r>
            <a:rPr lang="en-GB" sz="950" baseline="0">
              <a:solidFill>
                <a:schemeClr val="accent6">
                  <a:lumMod val="50000"/>
                </a:schemeClr>
              </a:solidFill>
            </a:rPr>
            <a:t> of the students had A in their exam score grade</a:t>
          </a:r>
        </a:p>
        <a:p>
          <a:pPr algn="l"/>
          <a:r>
            <a:rPr lang="en-GB" sz="950" baseline="0">
              <a:solidFill>
                <a:schemeClr val="accent6">
                  <a:lumMod val="50000"/>
                </a:schemeClr>
              </a:solidFill>
            </a:rPr>
            <a:t>- 5.5% of the students had B in the exam score grade</a:t>
          </a:r>
        </a:p>
        <a:p>
          <a:pPr marL="0" marR="0" lvl="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accent6">
                  <a:lumMod val="50000"/>
                </a:schemeClr>
              </a:solidFill>
              <a:effectLst/>
              <a:latin typeface="+mn-lt"/>
              <a:ea typeface="+mn-ea"/>
              <a:cs typeface="+mn-cs"/>
            </a:rPr>
            <a:t>- 13% of the students had C in the exam score grade</a:t>
          </a:r>
          <a:endParaRPr lang="en-NG" sz="900">
            <a:solidFill>
              <a:schemeClr val="accent6">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accent6">
                  <a:lumMod val="50000"/>
                </a:schemeClr>
              </a:solidFill>
              <a:effectLst/>
              <a:latin typeface="+mn-lt"/>
              <a:ea typeface="+mn-ea"/>
              <a:cs typeface="+mn-cs"/>
            </a:rPr>
            <a:t>- 52% of the students had D in the exam score grade</a:t>
          </a:r>
          <a:endParaRPr lang="en-NG" sz="900">
            <a:solidFill>
              <a:schemeClr val="accent6">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accent6">
                  <a:lumMod val="50000"/>
                </a:schemeClr>
              </a:solidFill>
              <a:effectLst/>
              <a:latin typeface="+mn-lt"/>
              <a:ea typeface="+mn-ea"/>
              <a:cs typeface="+mn-cs"/>
            </a:rPr>
            <a:t>- 27% of the students had E in the exam score grade</a:t>
          </a:r>
          <a:endParaRPr lang="en-NG" sz="900">
            <a:solidFill>
              <a:schemeClr val="accent6">
                <a:lumMod val="50000"/>
              </a:schemeClr>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accent6">
                  <a:lumMod val="50000"/>
                </a:schemeClr>
              </a:solidFill>
              <a:effectLst/>
              <a:latin typeface="+mn-lt"/>
              <a:ea typeface="+mn-ea"/>
              <a:cs typeface="+mn-cs"/>
            </a:rPr>
            <a:t>- 2% of the students had F in the exam score grade</a:t>
          </a:r>
          <a:endParaRPr lang="en-NG" sz="900">
            <a:solidFill>
              <a:schemeClr val="accent6">
                <a:lumMod val="50000"/>
              </a:schemeClr>
            </a:solidFill>
            <a:effectLst/>
          </a:endParaRPr>
        </a:p>
        <a:p>
          <a:pPr algn="l"/>
          <a:endParaRPr lang="en-GB" sz="950">
            <a:solidFill>
              <a:schemeClr val="accent6">
                <a:lumMod val="50000"/>
              </a:schemeClr>
            </a:solidFill>
          </a:endParaRPr>
        </a:p>
        <a:p>
          <a:pPr algn="l"/>
          <a:r>
            <a:rPr lang="en-GB" sz="950">
              <a:solidFill>
                <a:schemeClr val="accent6">
                  <a:lumMod val="50000"/>
                </a:schemeClr>
              </a:solidFill>
            </a:rPr>
            <a:t>Pre-insight</a:t>
          </a:r>
        </a:p>
        <a:p>
          <a:pPr algn="l"/>
          <a:r>
            <a:rPr lang="en-GB" sz="950">
              <a:solidFill>
                <a:schemeClr val="accent6">
                  <a:lumMod val="50000"/>
                </a:schemeClr>
              </a:solidFill>
            </a:rPr>
            <a:t>- What is the highest grade point achieved by</a:t>
          </a:r>
          <a:r>
            <a:rPr lang="en-GB" sz="950" baseline="0">
              <a:solidFill>
                <a:schemeClr val="accent6">
                  <a:lumMod val="50000"/>
                </a:schemeClr>
              </a:solidFill>
            </a:rPr>
            <a:t> a student</a:t>
          </a:r>
          <a:r>
            <a:rPr lang="en-GB" sz="950">
              <a:solidFill>
                <a:schemeClr val="accent6">
                  <a:lumMod val="50000"/>
                </a:schemeClr>
              </a:solidFill>
            </a:rPr>
            <a:t>?</a:t>
          </a:r>
        </a:p>
        <a:p>
          <a:pPr algn="l"/>
          <a:r>
            <a:rPr lang="en-GB" sz="950">
              <a:solidFill>
                <a:schemeClr val="accent6">
                  <a:lumMod val="50000"/>
                </a:schemeClr>
              </a:solidFill>
            </a:rPr>
            <a:t>- How many students make an average grade</a:t>
          </a:r>
          <a:r>
            <a:rPr lang="en-GB" sz="950" baseline="0">
              <a:solidFill>
                <a:schemeClr val="accent6">
                  <a:lumMod val="50000"/>
                </a:schemeClr>
              </a:solidFill>
            </a:rPr>
            <a:t>?</a:t>
          </a:r>
          <a:endParaRPr lang="en-GB" sz="950">
            <a:solidFill>
              <a:schemeClr val="accent6">
                <a:lumMod val="50000"/>
              </a:schemeClr>
            </a:solidFill>
          </a:endParaRPr>
        </a:p>
        <a:p>
          <a:pPr algn="l"/>
          <a:r>
            <a:rPr lang="en-GB" sz="950">
              <a:solidFill>
                <a:schemeClr val="accent6">
                  <a:lumMod val="50000"/>
                </a:schemeClr>
              </a:solidFill>
            </a:rPr>
            <a:t>- How</a:t>
          </a:r>
          <a:r>
            <a:rPr lang="en-GB" sz="950" baseline="0">
              <a:solidFill>
                <a:schemeClr val="accent6">
                  <a:lumMod val="50000"/>
                </a:schemeClr>
              </a:solidFill>
            </a:rPr>
            <a:t> to improve learning for students having below average marks?</a:t>
          </a:r>
          <a:endParaRPr lang="en-GB" sz="950">
            <a:solidFill>
              <a:schemeClr val="accent6">
                <a:lumMod val="50000"/>
              </a:schemeClr>
            </a:solidFill>
          </a:endParaRPr>
        </a:p>
        <a:p>
          <a:pPr algn="l"/>
          <a:r>
            <a:rPr lang="en-GB" sz="950">
              <a:solidFill>
                <a:schemeClr val="accent6">
                  <a:lumMod val="50000"/>
                </a:schemeClr>
              </a:solidFill>
            </a:rPr>
            <a:t>- Compare what works for A, B &amp; C grade students, and replicate it for other students</a:t>
          </a:r>
          <a:endParaRPr lang="en-NG" sz="950">
            <a:solidFill>
              <a:schemeClr val="accent6">
                <a:lumMod val="50000"/>
              </a:schemeClr>
            </a:solidFill>
          </a:endParaRPr>
        </a:p>
      </xdr:txBody>
    </xdr:sp>
    <xdr:clientData/>
  </xdr:twoCellAnchor>
  <xdr:twoCellAnchor>
    <xdr:from>
      <xdr:col>15</xdr:col>
      <xdr:colOff>469900</xdr:colOff>
      <xdr:row>14</xdr:row>
      <xdr:rowOff>95250</xdr:rowOff>
    </xdr:from>
    <xdr:to>
      <xdr:col>22</xdr:col>
      <xdr:colOff>400050</xdr:colOff>
      <xdr:row>27</xdr:row>
      <xdr:rowOff>44450</xdr:rowOff>
    </xdr:to>
    <xdr:sp macro="" textlink="">
      <xdr:nvSpPr>
        <xdr:cNvPr id="7" name="Rectangle 6">
          <a:extLst>
            <a:ext uri="{FF2B5EF4-FFF2-40B4-BE49-F238E27FC236}">
              <a16:creationId xmlns:a16="http://schemas.microsoft.com/office/drawing/2014/main" id="{B616D062-030E-4B2A-9FAB-BDB332C888A1}"/>
            </a:ext>
          </a:extLst>
        </xdr:cNvPr>
        <xdr:cNvSpPr/>
      </xdr:nvSpPr>
      <xdr:spPr>
        <a:xfrm>
          <a:off x="9613900" y="267335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100" b="0" i="0" baseline="0">
              <a:solidFill>
                <a:schemeClr val="lt1"/>
              </a:solidFill>
              <a:effectLst/>
              <a:latin typeface="+mn-lt"/>
              <a:ea typeface="+mn-ea"/>
              <a:cs typeface="+mn-cs"/>
            </a:rPr>
            <a:t>Effect of Attendance Percent on Previous Score Grade</a:t>
          </a:r>
          <a:endParaRPr lang="en-NG" sz="1000">
            <a:effectLst/>
          </a:endParaRPr>
        </a:p>
        <a:p>
          <a:pPr algn="l"/>
          <a:r>
            <a:rPr lang="en-GB" sz="1000">
              <a:solidFill>
                <a:schemeClr val="bg1"/>
              </a:solidFill>
            </a:rPr>
            <a:t>Observation</a:t>
          </a:r>
        </a:p>
        <a:p>
          <a:r>
            <a:rPr lang="en-GB" sz="950">
              <a:solidFill>
                <a:schemeClr val="bg1"/>
              </a:solidFill>
            </a:rPr>
            <a:t>- </a:t>
          </a:r>
          <a:r>
            <a:rPr lang="en-GB" sz="950" baseline="0">
              <a:solidFill>
                <a:schemeClr val="lt1"/>
              </a:solidFill>
              <a:effectLst/>
              <a:latin typeface="+mn-lt"/>
              <a:ea typeface="+mn-ea"/>
              <a:cs typeface="+mn-cs"/>
            </a:rPr>
            <a:t>51 Students who spend 80-90% study time had previous score grades ranging from B-F</a:t>
          </a:r>
          <a:endParaRPr lang="en-NG" sz="950">
            <a:effectLst/>
          </a:endParaRPr>
        </a:p>
        <a:p>
          <a:r>
            <a:rPr lang="en-GB" sz="950" baseline="0">
              <a:solidFill>
                <a:schemeClr val="lt1"/>
              </a:solidFill>
              <a:effectLst/>
              <a:latin typeface="+mn-lt"/>
              <a:ea typeface="+mn-ea"/>
              <a:cs typeface="+mn-cs"/>
            </a:rPr>
            <a:t>- 41 students who spent 60-70% study time had previous score grades ranging from B-E</a:t>
          </a:r>
          <a:endParaRPr lang="en-NG" sz="950">
            <a:effectLst/>
          </a:endParaRPr>
        </a:p>
        <a:p>
          <a:pPr eaLnBrk="1" fontAlgn="auto" latinLnBrk="0" hangingPunct="1"/>
          <a:r>
            <a:rPr lang="en-GB" sz="950" baseline="0">
              <a:solidFill>
                <a:schemeClr val="lt1"/>
              </a:solidFill>
              <a:effectLst/>
              <a:latin typeface="+mn-lt"/>
              <a:ea typeface="+mn-ea"/>
              <a:cs typeface="+mn-cs"/>
            </a:rPr>
            <a:t>- 37 students who spent 50-60% study time had previous score grades ranging from B-E</a:t>
          </a:r>
          <a:endParaRPr lang="en-NG" sz="950">
            <a:effectLst/>
          </a:endParaRPr>
        </a:p>
        <a:p>
          <a:pPr eaLnBrk="1" fontAlgn="auto" latinLnBrk="0" hangingPunct="1"/>
          <a:r>
            <a:rPr lang="en-GB" sz="950" baseline="0">
              <a:solidFill>
                <a:schemeClr val="lt1"/>
              </a:solidFill>
              <a:effectLst/>
              <a:latin typeface="+mn-lt"/>
              <a:ea typeface="+mn-ea"/>
              <a:cs typeface="+mn-cs"/>
            </a:rPr>
            <a:t>- 36 students who spent 70-80% study time had previous score grades ranging from A-F</a:t>
          </a:r>
          <a:endParaRPr lang="en-NG" sz="950">
            <a:effectLst/>
          </a:endParaRPr>
        </a:p>
        <a:p>
          <a:pPr eaLnBrk="1" fontAlgn="auto" latinLnBrk="0" hangingPunct="1"/>
          <a:r>
            <a:rPr lang="en-GB" sz="950" baseline="0">
              <a:solidFill>
                <a:schemeClr val="lt1"/>
              </a:solidFill>
              <a:effectLst/>
              <a:latin typeface="+mn-lt"/>
              <a:ea typeface="+mn-ea"/>
              <a:cs typeface="+mn-cs"/>
            </a:rPr>
            <a:t>- 35 students who spent 90-100% study time had previous score grades reanging from B-F</a:t>
          </a:r>
          <a:endParaRPr lang="en-NG" sz="950">
            <a:effectLst/>
          </a:endParaRPr>
        </a:p>
        <a:p>
          <a:pPr algn="l"/>
          <a:endParaRPr lang="en-GB" sz="1000">
            <a:solidFill>
              <a:schemeClr val="bg1"/>
            </a:solidFill>
          </a:endParaRPr>
        </a:p>
        <a:p>
          <a:pPr algn="l"/>
          <a:r>
            <a:rPr lang="en-GB" sz="1000">
              <a:solidFill>
                <a:schemeClr val="bg1"/>
              </a:solidFill>
            </a:rPr>
            <a:t>Pre-insight</a:t>
          </a:r>
        </a:p>
        <a:p>
          <a:pPr algn="l"/>
          <a:r>
            <a:rPr lang="en-GB" sz="1000">
              <a:solidFill>
                <a:schemeClr val="bg1"/>
              </a:solidFill>
            </a:rPr>
            <a:t>- Student attendance percent proportional to previous score grade</a:t>
          </a:r>
          <a:endParaRPr lang="en-NG" sz="1000">
            <a:solidFill>
              <a:schemeClr val="bg1"/>
            </a:solidFill>
          </a:endParaRPr>
        </a:p>
      </xdr:txBody>
    </xdr:sp>
    <xdr:clientData/>
  </xdr:twoCellAnchor>
  <xdr:twoCellAnchor>
    <xdr:from>
      <xdr:col>23</xdr:col>
      <xdr:colOff>158750</xdr:colOff>
      <xdr:row>0</xdr:row>
      <xdr:rowOff>101600</xdr:rowOff>
    </xdr:from>
    <xdr:to>
      <xdr:col>30</xdr:col>
      <xdr:colOff>88900</xdr:colOff>
      <xdr:row>13</xdr:row>
      <xdr:rowOff>50800</xdr:rowOff>
    </xdr:to>
    <xdr:sp macro="" textlink="">
      <xdr:nvSpPr>
        <xdr:cNvPr id="8" name="Rectangle 7">
          <a:extLst>
            <a:ext uri="{FF2B5EF4-FFF2-40B4-BE49-F238E27FC236}">
              <a16:creationId xmlns:a16="http://schemas.microsoft.com/office/drawing/2014/main" id="{EF3800CE-CCB7-44B0-BCDC-FF938C295915}"/>
            </a:ext>
          </a:extLst>
        </xdr:cNvPr>
        <xdr:cNvSpPr/>
      </xdr:nvSpPr>
      <xdr:spPr>
        <a:xfrm>
          <a:off x="14179550" y="10160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Relationship between hours studied and exam scores</a:t>
          </a:r>
        </a:p>
        <a:p>
          <a:pPr algn="l"/>
          <a:r>
            <a:rPr lang="en-GB" sz="1000">
              <a:solidFill>
                <a:schemeClr val="bg1"/>
              </a:solidFill>
            </a:rPr>
            <a:t>Observation</a:t>
          </a:r>
        </a:p>
        <a:p>
          <a:pPr algn="l"/>
          <a:r>
            <a:rPr lang="en-GB" sz="1000">
              <a:solidFill>
                <a:schemeClr val="bg1"/>
              </a:solidFill>
            </a:rPr>
            <a:t>- 12 hours was the highest study hour by the students</a:t>
          </a:r>
        </a:p>
        <a:p>
          <a:pPr algn="l"/>
          <a:r>
            <a:rPr lang="en-GB" sz="1000">
              <a:solidFill>
                <a:schemeClr val="bg1"/>
              </a:solidFill>
            </a:rPr>
            <a:t>- The</a:t>
          </a:r>
          <a:r>
            <a:rPr lang="en-GB" sz="1000" baseline="0">
              <a:solidFill>
                <a:schemeClr val="bg1"/>
              </a:solidFill>
            </a:rPr>
            <a:t> exam scores of students that studied for 12 hours were: 51.3, 42 &amp; 36.9</a:t>
          </a:r>
        </a:p>
        <a:p>
          <a:pPr algn="l"/>
          <a:r>
            <a:rPr lang="en-GB" sz="1000" baseline="0">
              <a:solidFill>
                <a:schemeClr val="bg1"/>
              </a:solidFill>
            </a:rPr>
            <a:t>- The second best hour spent reading was 11.9, with a score of 48.6</a:t>
          </a:r>
        </a:p>
        <a:p>
          <a:pPr algn="l"/>
          <a:endParaRPr lang="en-GB" sz="1000">
            <a:solidFill>
              <a:schemeClr val="bg1"/>
            </a:solidFill>
          </a:endParaRPr>
        </a:p>
        <a:p>
          <a:pPr algn="l"/>
          <a:r>
            <a:rPr lang="en-GB" sz="1000">
              <a:solidFill>
                <a:schemeClr val="bg1"/>
              </a:solidFill>
            </a:rPr>
            <a:t>Pre-insight</a:t>
          </a:r>
        </a:p>
        <a:p>
          <a:pPr algn="l"/>
          <a:r>
            <a:rPr lang="en-GB" sz="1000">
              <a:solidFill>
                <a:schemeClr val="bg1"/>
              </a:solidFill>
            </a:rPr>
            <a:t>- Relationship between hours spent studying</a:t>
          </a:r>
          <a:r>
            <a:rPr lang="en-GB" sz="1000" baseline="0">
              <a:solidFill>
                <a:schemeClr val="bg1"/>
              </a:solidFill>
            </a:rPr>
            <a:t> and students performance during their exams</a:t>
          </a:r>
        </a:p>
        <a:p>
          <a:pPr algn="l"/>
          <a:r>
            <a:rPr lang="en-GB" sz="1000" baseline="0">
              <a:solidFill>
                <a:schemeClr val="bg1"/>
              </a:solidFill>
            </a:rPr>
            <a:t>- How can students improve on their study hours?</a:t>
          </a:r>
          <a:endParaRPr lang="en-GB" sz="10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23283</xdr:colOff>
      <xdr:row>1</xdr:row>
      <xdr:rowOff>0</xdr:rowOff>
    </xdr:from>
    <xdr:to>
      <xdr:col>4</xdr:col>
      <xdr:colOff>245533</xdr:colOff>
      <xdr:row>48</xdr:row>
      <xdr:rowOff>8467</xdr:rowOff>
    </xdr:to>
    <xdr:sp macro="" textlink="">
      <xdr:nvSpPr>
        <xdr:cNvPr id="2" name="Rectangle 1">
          <a:extLst>
            <a:ext uri="{FF2B5EF4-FFF2-40B4-BE49-F238E27FC236}">
              <a16:creationId xmlns:a16="http://schemas.microsoft.com/office/drawing/2014/main" id="{8471BD7B-15F0-41C3-A06F-21D2557E2B4F}"/>
            </a:ext>
          </a:extLst>
        </xdr:cNvPr>
        <xdr:cNvSpPr/>
      </xdr:nvSpPr>
      <xdr:spPr>
        <a:xfrm>
          <a:off x="1250950" y="0"/>
          <a:ext cx="1449916" cy="8464550"/>
        </a:xfrm>
        <a:prstGeom prst="rect">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349250</xdr:colOff>
      <xdr:row>1</xdr:row>
      <xdr:rowOff>84061</xdr:rowOff>
    </xdr:from>
    <xdr:to>
      <xdr:col>29</xdr:col>
      <xdr:colOff>0</xdr:colOff>
      <xdr:row>6</xdr:row>
      <xdr:rowOff>83153</xdr:rowOff>
    </xdr:to>
    <xdr:sp macro="" textlink="">
      <xdr:nvSpPr>
        <xdr:cNvPr id="3" name="Rectangle 2">
          <a:extLst>
            <a:ext uri="{FF2B5EF4-FFF2-40B4-BE49-F238E27FC236}">
              <a16:creationId xmlns:a16="http://schemas.microsoft.com/office/drawing/2014/main" id="{2D2BA098-B981-4F8D-A397-044BFD0D4B20}"/>
            </a:ext>
          </a:extLst>
        </xdr:cNvPr>
        <xdr:cNvSpPr/>
      </xdr:nvSpPr>
      <xdr:spPr>
        <a:xfrm>
          <a:off x="1576917" y="84061"/>
          <a:ext cx="14996583" cy="898675"/>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390071</xdr:colOff>
      <xdr:row>1</xdr:row>
      <xdr:rowOff>145143</xdr:rowOff>
    </xdr:from>
    <xdr:to>
      <xdr:col>15</xdr:col>
      <xdr:colOff>136071</xdr:colOff>
      <xdr:row>4</xdr:row>
      <xdr:rowOff>9071</xdr:rowOff>
    </xdr:to>
    <xdr:sp macro="" textlink="">
      <xdr:nvSpPr>
        <xdr:cNvPr id="4" name="TextBox 3">
          <a:extLst>
            <a:ext uri="{FF2B5EF4-FFF2-40B4-BE49-F238E27FC236}">
              <a16:creationId xmlns:a16="http://schemas.microsoft.com/office/drawing/2014/main" id="{599C3220-91C9-4F20-8EF2-3FCD9836DD07}"/>
            </a:ext>
          </a:extLst>
        </xdr:cNvPr>
        <xdr:cNvSpPr txBox="1"/>
      </xdr:nvSpPr>
      <xdr:spPr>
        <a:xfrm>
          <a:off x="1605642" y="145143"/>
          <a:ext cx="6431643" cy="4082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2400">
              <a:solidFill>
                <a:schemeClr val="accent6">
                  <a:lumMod val="50000"/>
                </a:schemeClr>
              </a:solidFill>
              <a:latin typeface="Georgia" panose="02040502050405020303" pitchFamily="18" charset="0"/>
            </a:rPr>
            <a:t>STUDENTS' PERFORMANCE ANALYSIS</a:t>
          </a:r>
          <a:endParaRPr lang="en-NG" sz="2400">
            <a:solidFill>
              <a:schemeClr val="accent6">
                <a:lumMod val="50000"/>
              </a:schemeClr>
            </a:solidFill>
            <a:latin typeface="Georgia" panose="02040502050405020303" pitchFamily="18" charset="0"/>
          </a:endParaRPr>
        </a:p>
      </xdr:txBody>
    </xdr:sp>
    <xdr:clientData/>
  </xdr:twoCellAnchor>
  <xdr:twoCellAnchor editAs="oneCell">
    <xdr:from>
      <xdr:col>2</xdr:col>
      <xdr:colOff>244929</xdr:colOff>
      <xdr:row>1</xdr:row>
      <xdr:rowOff>136072</xdr:rowOff>
    </xdr:from>
    <xdr:to>
      <xdr:col>3</xdr:col>
      <xdr:colOff>551543</xdr:colOff>
      <xdr:row>6</xdr:row>
      <xdr:rowOff>143329</xdr:rowOff>
    </xdr:to>
    <xdr:pic>
      <xdr:nvPicPr>
        <xdr:cNvPr id="6" name="Graphic 5" descr="Classroom with solid fill">
          <a:extLst>
            <a:ext uri="{FF2B5EF4-FFF2-40B4-BE49-F238E27FC236}">
              <a16:creationId xmlns:a16="http://schemas.microsoft.com/office/drawing/2014/main" id="{2761A2A3-8737-4D5F-979F-497C290ABC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44929" y="136072"/>
          <a:ext cx="914400" cy="914400"/>
        </a:xfrm>
        <a:prstGeom prst="rect">
          <a:avLst/>
        </a:prstGeom>
      </xdr:spPr>
    </xdr:pic>
    <xdr:clientData/>
  </xdr:twoCellAnchor>
  <xdr:twoCellAnchor>
    <xdr:from>
      <xdr:col>2</xdr:col>
      <xdr:colOff>45358</xdr:colOff>
      <xdr:row>6</xdr:row>
      <xdr:rowOff>170544</xdr:rowOff>
    </xdr:from>
    <xdr:to>
      <xdr:col>4</xdr:col>
      <xdr:colOff>235859</xdr:colOff>
      <xdr:row>9</xdr:row>
      <xdr:rowOff>34472</xdr:rowOff>
    </xdr:to>
    <xdr:sp macro="" textlink="">
      <xdr:nvSpPr>
        <xdr:cNvPr id="7" name="TextBox 6">
          <a:extLst>
            <a:ext uri="{FF2B5EF4-FFF2-40B4-BE49-F238E27FC236}">
              <a16:creationId xmlns:a16="http://schemas.microsoft.com/office/drawing/2014/main" id="{F0915232-C2BD-470F-80CA-37AB5C1409FC}"/>
            </a:ext>
          </a:extLst>
        </xdr:cNvPr>
        <xdr:cNvSpPr txBox="1"/>
      </xdr:nvSpPr>
      <xdr:spPr>
        <a:xfrm>
          <a:off x="45358" y="1077687"/>
          <a:ext cx="1406072" cy="408214"/>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rot lat="1043" lon="599999" rev="21594085"/>
            </a:camera>
            <a:lightRig rig="threePt" dir="t"/>
          </a:scene3d>
        </a:bodyPr>
        <a:lstStyle/>
        <a:p>
          <a:pPr algn="l"/>
          <a:r>
            <a:rPr lang="en-GB" sz="1400">
              <a:solidFill>
                <a:schemeClr val="bg1"/>
              </a:solidFill>
              <a:latin typeface="Georgia" panose="02040502050405020303" pitchFamily="18" charset="0"/>
            </a:rPr>
            <a:t>AG SCHOOLS</a:t>
          </a:r>
          <a:endParaRPr lang="en-NG" sz="1400">
            <a:solidFill>
              <a:schemeClr val="bg1"/>
            </a:solidFill>
            <a:latin typeface="Georgia" panose="02040502050405020303" pitchFamily="18" charset="0"/>
          </a:endParaRPr>
        </a:p>
      </xdr:txBody>
    </xdr:sp>
    <xdr:clientData/>
  </xdr:twoCellAnchor>
  <xdr:twoCellAnchor>
    <xdr:from>
      <xdr:col>13</xdr:col>
      <xdr:colOff>296334</xdr:colOff>
      <xdr:row>34</xdr:row>
      <xdr:rowOff>44451</xdr:rowOff>
    </xdr:from>
    <xdr:to>
      <xdr:col>29</xdr:col>
      <xdr:colOff>1</xdr:colOff>
      <xdr:row>45</xdr:row>
      <xdr:rowOff>34262</xdr:rowOff>
    </xdr:to>
    <xdr:sp macro="" textlink="">
      <xdr:nvSpPr>
        <xdr:cNvPr id="8" name="Rectangle 7">
          <a:extLst>
            <a:ext uri="{FF2B5EF4-FFF2-40B4-BE49-F238E27FC236}">
              <a16:creationId xmlns:a16="http://schemas.microsoft.com/office/drawing/2014/main" id="{E98F3837-1C2C-4A4F-B837-1AD6463EC4C9}"/>
            </a:ext>
          </a:extLst>
        </xdr:cNvPr>
        <xdr:cNvSpPr/>
      </xdr:nvSpPr>
      <xdr:spPr>
        <a:xfrm>
          <a:off x="7048501" y="5981701"/>
          <a:ext cx="9525000" cy="1968894"/>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370416</xdr:colOff>
      <xdr:row>20</xdr:row>
      <xdr:rowOff>45658</xdr:rowOff>
    </xdr:from>
    <xdr:to>
      <xdr:col>12</xdr:col>
      <xdr:colOff>359833</xdr:colOff>
      <xdr:row>33</xdr:row>
      <xdr:rowOff>74084</xdr:rowOff>
    </xdr:to>
    <xdr:sp macro="" textlink="">
      <xdr:nvSpPr>
        <xdr:cNvPr id="9" name="Rectangle 8">
          <a:extLst>
            <a:ext uri="{FF2B5EF4-FFF2-40B4-BE49-F238E27FC236}">
              <a16:creationId xmlns:a16="http://schemas.microsoft.com/office/drawing/2014/main" id="{33E7C83B-47A9-48E2-B20C-CAF192F100B9}"/>
            </a:ext>
          </a:extLst>
        </xdr:cNvPr>
        <xdr:cNvSpPr/>
      </xdr:nvSpPr>
      <xdr:spPr>
        <a:xfrm>
          <a:off x="1598083" y="3464075"/>
          <a:ext cx="4900083" cy="2367342"/>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20</xdr:col>
      <xdr:colOff>116417</xdr:colOff>
      <xdr:row>7</xdr:row>
      <xdr:rowOff>7556</xdr:rowOff>
    </xdr:from>
    <xdr:to>
      <xdr:col>29</xdr:col>
      <xdr:colOff>0</xdr:colOff>
      <xdr:row>19</xdr:row>
      <xdr:rowOff>116416</xdr:rowOff>
    </xdr:to>
    <xdr:sp macro="" textlink="">
      <xdr:nvSpPr>
        <xdr:cNvPr id="10" name="Rectangle 9">
          <a:extLst>
            <a:ext uri="{FF2B5EF4-FFF2-40B4-BE49-F238E27FC236}">
              <a16:creationId xmlns:a16="http://schemas.microsoft.com/office/drawing/2014/main" id="{2839DB22-594B-4CFC-9B9B-A4BBD6E5EE0D}"/>
            </a:ext>
          </a:extLst>
        </xdr:cNvPr>
        <xdr:cNvSpPr/>
      </xdr:nvSpPr>
      <xdr:spPr>
        <a:xfrm>
          <a:off x="11165417" y="1087056"/>
          <a:ext cx="5408083" cy="226786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476251</xdr:colOff>
      <xdr:row>20</xdr:row>
      <xdr:rowOff>51100</xdr:rowOff>
    </xdr:from>
    <xdr:to>
      <xdr:col>20</xdr:col>
      <xdr:colOff>486834</xdr:colOff>
      <xdr:row>33</xdr:row>
      <xdr:rowOff>84667</xdr:rowOff>
    </xdr:to>
    <xdr:sp macro="" textlink="">
      <xdr:nvSpPr>
        <xdr:cNvPr id="11" name="Rectangle 10">
          <a:extLst>
            <a:ext uri="{FF2B5EF4-FFF2-40B4-BE49-F238E27FC236}">
              <a16:creationId xmlns:a16="http://schemas.microsoft.com/office/drawing/2014/main" id="{DB0F3CA4-5FEC-4636-9A6E-B65B06D0762A}"/>
            </a:ext>
          </a:extLst>
        </xdr:cNvPr>
        <xdr:cNvSpPr/>
      </xdr:nvSpPr>
      <xdr:spPr>
        <a:xfrm>
          <a:off x="6614584" y="3469517"/>
          <a:ext cx="4921250" cy="2372483"/>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391583</xdr:colOff>
      <xdr:row>22</xdr:row>
      <xdr:rowOff>52917</xdr:rowOff>
    </xdr:from>
    <xdr:to>
      <xdr:col>12</xdr:col>
      <xdr:colOff>285750</xdr:colOff>
      <xdr:row>33</xdr:row>
      <xdr:rowOff>31751</xdr:rowOff>
    </xdr:to>
    <xdr:graphicFrame macro="">
      <xdr:nvGraphicFramePr>
        <xdr:cNvPr id="13" name="Chart 12">
          <a:extLst>
            <a:ext uri="{FF2B5EF4-FFF2-40B4-BE49-F238E27FC236}">
              <a16:creationId xmlns:a16="http://schemas.microsoft.com/office/drawing/2014/main" id="{5943E7AA-9870-4C07-AF4D-6EDC7E2B7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373136</xdr:colOff>
      <xdr:row>20</xdr:row>
      <xdr:rowOff>117625</xdr:rowOff>
    </xdr:from>
    <xdr:to>
      <xdr:col>10</xdr:col>
      <xdr:colOff>158749</xdr:colOff>
      <xdr:row>22</xdr:row>
      <xdr:rowOff>74083</xdr:rowOff>
    </xdr:to>
    <xdr:sp macro="" textlink="">
      <xdr:nvSpPr>
        <xdr:cNvPr id="14" name="TextBox 13">
          <a:extLst>
            <a:ext uri="{FF2B5EF4-FFF2-40B4-BE49-F238E27FC236}">
              <a16:creationId xmlns:a16="http://schemas.microsoft.com/office/drawing/2014/main" id="{827182D9-AD0C-43BB-AA04-A9EE733F800D}"/>
            </a:ext>
          </a:extLst>
        </xdr:cNvPr>
        <xdr:cNvSpPr txBox="1"/>
      </xdr:nvSpPr>
      <xdr:spPr>
        <a:xfrm>
          <a:off x="2828469" y="3715958"/>
          <a:ext cx="3468613" cy="3162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a:solidFill>
                <a:schemeClr val="accent6">
                  <a:lumMod val="50000"/>
                </a:schemeClr>
              </a:solidFill>
              <a:latin typeface="Georgia" panose="02040502050405020303" pitchFamily="18" charset="0"/>
            </a:rPr>
            <a:t>Students with Best Performance</a:t>
          </a:r>
          <a:endParaRPr lang="en-NG" sz="1600">
            <a:solidFill>
              <a:schemeClr val="accent6">
                <a:lumMod val="50000"/>
              </a:schemeClr>
            </a:solidFill>
            <a:latin typeface="Georgia" panose="02040502050405020303" pitchFamily="18" charset="0"/>
          </a:endParaRPr>
        </a:p>
      </xdr:txBody>
    </xdr:sp>
    <xdr:clientData/>
  </xdr:twoCellAnchor>
  <xdr:twoCellAnchor>
    <xdr:from>
      <xdr:col>21</xdr:col>
      <xdr:colOff>0</xdr:colOff>
      <xdr:row>20</xdr:row>
      <xdr:rowOff>38702</xdr:rowOff>
    </xdr:from>
    <xdr:to>
      <xdr:col>29</xdr:col>
      <xdr:colOff>21166</xdr:colOff>
      <xdr:row>33</xdr:row>
      <xdr:rowOff>84667</xdr:rowOff>
    </xdr:to>
    <xdr:sp macro="" textlink="">
      <xdr:nvSpPr>
        <xdr:cNvPr id="12" name="Rectangle 11">
          <a:extLst>
            <a:ext uri="{FF2B5EF4-FFF2-40B4-BE49-F238E27FC236}">
              <a16:creationId xmlns:a16="http://schemas.microsoft.com/office/drawing/2014/main" id="{9BAEC6AF-2378-4678-AB28-918DA6C1792E}"/>
            </a:ext>
          </a:extLst>
        </xdr:cNvPr>
        <xdr:cNvSpPr/>
      </xdr:nvSpPr>
      <xdr:spPr>
        <a:xfrm>
          <a:off x="11662833" y="3457119"/>
          <a:ext cx="4931833" cy="2384881"/>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493787</xdr:colOff>
      <xdr:row>20</xdr:row>
      <xdr:rowOff>111274</xdr:rowOff>
    </xdr:from>
    <xdr:to>
      <xdr:col>18</xdr:col>
      <xdr:colOff>582082</xdr:colOff>
      <xdr:row>22</xdr:row>
      <xdr:rowOff>52915</xdr:rowOff>
    </xdr:to>
    <xdr:sp macro="" textlink="">
      <xdr:nvSpPr>
        <xdr:cNvPr id="15" name="TextBox 14">
          <a:extLst>
            <a:ext uri="{FF2B5EF4-FFF2-40B4-BE49-F238E27FC236}">
              <a16:creationId xmlns:a16="http://schemas.microsoft.com/office/drawing/2014/main" id="{D683246E-4250-4AF6-ACD9-C1005906FCBD}"/>
            </a:ext>
          </a:extLst>
        </xdr:cNvPr>
        <xdr:cNvSpPr txBox="1"/>
      </xdr:nvSpPr>
      <xdr:spPr>
        <a:xfrm>
          <a:off x="7859787" y="3709607"/>
          <a:ext cx="3771295" cy="30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a:solidFill>
                <a:schemeClr val="accent6">
                  <a:lumMod val="50000"/>
                </a:schemeClr>
              </a:solidFill>
              <a:latin typeface="Georgia" panose="02040502050405020303" pitchFamily="18" charset="0"/>
            </a:rPr>
            <a:t>Effect of Attendance Percent on Exam Grade</a:t>
          </a:r>
          <a:endParaRPr lang="en-NG" sz="1600">
            <a:solidFill>
              <a:schemeClr val="accent6">
                <a:lumMod val="50000"/>
              </a:schemeClr>
            </a:solidFill>
            <a:latin typeface="Georgia" panose="02040502050405020303" pitchFamily="18" charset="0"/>
          </a:endParaRPr>
        </a:p>
      </xdr:txBody>
    </xdr:sp>
    <xdr:clientData/>
  </xdr:twoCellAnchor>
  <xdr:twoCellAnchor>
    <xdr:from>
      <xdr:col>21</xdr:col>
      <xdr:colOff>32355</xdr:colOff>
      <xdr:row>20</xdr:row>
      <xdr:rowOff>83758</xdr:rowOff>
    </xdr:from>
    <xdr:to>
      <xdr:col>26</xdr:col>
      <xdr:colOff>444500</xdr:colOff>
      <xdr:row>22</xdr:row>
      <xdr:rowOff>0</xdr:rowOff>
    </xdr:to>
    <xdr:sp macro="" textlink="">
      <xdr:nvSpPr>
        <xdr:cNvPr id="16" name="TextBox 15">
          <a:extLst>
            <a:ext uri="{FF2B5EF4-FFF2-40B4-BE49-F238E27FC236}">
              <a16:creationId xmlns:a16="http://schemas.microsoft.com/office/drawing/2014/main" id="{B6720982-6747-4412-806B-13783E95A823}"/>
            </a:ext>
          </a:extLst>
        </xdr:cNvPr>
        <xdr:cNvSpPr txBox="1"/>
      </xdr:nvSpPr>
      <xdr:spPr>
        <a:xfrm>
          <a:off x="12922855" y="3682091"/>
          <a:ext cx="3481312" cy="2760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a:solidFill>
                <a:schemeClr val="accent6">
                  <a:lumMod val="50000"/>
                </a:schemeClr>
              </a:solidFill>
              <a:latin typeface="Georgia" panose="02040502050405020303" pitchFamily="18" charset="0"/>
            </a:rPr>
            <a:t>Students with Least Performance</a:t>
          </a:r>
          <a:endParaRPr lang="en-NG" sz="1600">
            <a:solidFill>
              <a:schemeClr val="accent6">
                <a:lumMod val="50000"/>
              </a:schemeClr>
            </a:solidFill>
            <a:latin typeface="Georgia" panose="02040502050405020303" pitchFamily="18" charset="0"/>
          </a:endParaRPr>
        </a:p>
      </xdr:txBody>
    </xdr:sp>
    <xdr:clientData/>
  </xdr:twoCellAnchor>
  <xdr:twoCellAnchor>
    <xdr:from>
      <xdr:col>21</xdr:col>
      <xdr:colOff>21167</xdr:colOff>
      <xdr:row>22</xdr:row>
      <xdr:rowOff>0</xdr:rowOff>
    </xdr:from>
    <xdr:to>
      <xdr:col>28</xdr:col>
      <xdr:colOff>508000</xdr:colOff>
      <xdr:row>33</xdr:row>
      <xdr:rowOff>31750</xdr:rowOff>
    </xdr:to>
    <xdr:graphicFrame macro="">
      <xdr:nvGraphicFramePr>
        <xdr:cNvPr id="17" name="Chart 16">
          <a:extLst>
            <a:ext uri="{FF2B5EF4-FFF2-40B4-BE49-F238E27FC236}">
              <a16:creationId xmlns:a16="http://schemas.microsoft.com/office/drawing/2014/main" id="{AA6D2532-B5C4-456C-9B95-D41957040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529168</xdr:colOff>
      <xdr:row>22</xdr:row>
      <xdr:rowOff>21167</xdr:rowOff>
    </xdr:from>
    <xdr:to>
      <xdr:col>20</xdr:col>
      <xdr:colOff>402167</xdr:colOff>
      <xdr:row>33</xdr:row>
      <xdr:rowOff>63500</xdr:rowOff>
    </xdr:to>
    <xdr:graphicFrame macro="">
      <xdr:nvGraphicFramePr>
        <xdr:cNvPr id="21" name="Chart 20">
          <a:extLst>
            <a:ext uri="{FF2B5EF4-FFF2-40B4-BE49-F238E27FC236}">
              <a16:creationId xmlns:a16="http://schemas.microsoft.com/office/drawing/2014/main" id="{D7338D10-05CE-4C82-9DB8-8ED467611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359833</xdr:colOff>
      <xdr:row>7</xdr:row>
      <xdr:rowOff>38101</xdr:rowOff>
    </xdr:from>
    <xdr:to>
      <xdr:col>20</xdr:col>
      <xdr:colOff>0</xdr:colOff>
      <xdr:row>19</xdr:row>
      <xdr:rowOff>127001</xdr:rowOff>
    </xdr:to>
    <xdr:sp macro="" textlink="">
      <xdr:nvSpPr>
        <xdr:cNvPr id="22" name="Rectangle 21">
          <a:extLst>
            <a:ext uri="{FF2B5EF4-FFF2-40B4-BE49-F238E27FC236}">
              <a16:creationId xmlns:a16="http://schemas.microsoft.com/office/drawing/2014/main" id="{B0C74B0B-CAE2-4039-A3E9-4B1F8D23A086}"/>
            </a:ext>
          </a:extLst>
        </xdr:cNvPr>
        <xdr:cNvSpPr/>
      </xdr:nvSpPr>
      <xdr:spPr>
        <a:xfrm>
          <a:off x="1587500" y="1117601"/>
          <a:ext cx="9461500" cy="2247900"/>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370416</xdr:colOff>
      <xdr:row>9</xdr:row>
      <xdr:rowOff>15876</xdr:rowOff>
    </xdr:from>
    <xdr:to>
      <xdr:col>19</xdr:col>
      <xdr:colOff>550333</xdr:colOff>
      <xdr:row>19</xdr:row>
      <xdr:rowOff>132292</xdr:rowOff>
    </xdr:to>
    <xdr:graphicFrame macro="">
      <xdr:nvGraphicFramePr>
        <xdr:cNvPr id="28" name="Chart 27">
          <a:extLst>
            <a:ext uri="{FF2B5EF4-FFF2-40B4-BE49-F238E27FC236}">
              <a16:creationId xmlns:a16="http://schemas.microsoft.com/office/drawing/2014/main" id="{B2C706C6-F6BA-4652-A148-DB0D3101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366787</xdr:colOff>
      <xdr:row>7</xdr:row>
      <xdr:rowOff>87993</xdr:rowOff>
    </xdr:from>
    <xdr:to>
      <xdr:col>13</xdr:col>
      <xdr:colOff>179917</xdr:colOff>
      <xdr:row>9</xdr:row>
      <xdr:rowOff>10583</xdr:rowOff>
    </xdr:to>
    <xdr:sp macro="" textlink="">
      <xdr:nvSpPr>
        <xdr:cNvPr id="29" name="TextBox 28">
          <a:extLst>
            <a:ext uri="{FF2B5EF4-FFF2-40B4-BE49-F238E27FC236}">
              <a16:creationId xmlns:a16="http://schemas.microsoft.com/office/drawing/2014/main" id="{C4A2CC5B-5218-455A-B74A-4338274D0741}"/>
            </a:ext>
          </a:extLst>
        </xdr:cNvPr>
        <xdr:cNvSpPr txBox="1"/>
      </xdr:nvSpPr>
      <xdr:spPr>
        <a:xfrm>
          <a:off x="2822120" y="1347410"/>
          <a:ext cx="5337630" cy="2824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a:solidFill>
                <a:schemeClr val="accent6">
                  <a:lumMod val="50000"/>
                </a:schemeClr>
              </a:solidFill>
              <a:latin typeface="Georgia" panose="02040502050405020303" pitchFamily="18" charset="0"/>
            </a:rPr>
            <a:t>Relationship Between</a:t>
          </a:r>
          <a:r>
            <a:rPr lang="en-GB" sz="1600" baseline="0">
              <a:solidFill>
                <a:schemeClr val="accent6">
                  <a:lumMod val="50000"/>
                </a:schemeClr>
              </a:solidFill>
              <a:latin typeface="Georgia" panose="02040502050405020303" pitchFamily="18" charset="0"/>
            </a:rPr>
            <a:t> Hours Studied and Exam Scores</a:t>
          </a:r>
          <a:endParaRPr lang="en-NG" sz="1600">
            <a:solidFill>
              <a:schemeClr val="accent6">
                <a:lumMod val="50000"/>
              </a:schemeClr>
            </a:solidFill>
            <a:latin typeface="Georgia" panose="02040502050405020303" pitchFamily="18" charset="0"/>
          </a:endParaRPr>
        </a:p>
      </xdr:txBody>
    </xdr:sp>
    <xdr:clientData/>
  </xdr:twoCellAnchor>
  <xdr:twoCellAnchor>
    <xdr:from>
      <xdr:col>4</xdr:col>
      <xdr:colOff>370416</xdr:colOff>
      <xdr:row>34</xdr:row>
      <xdr:rowOff>22371</xdr:rowOff>
    </xdr:from>
    <xdr:to>
      <xdr:col>13</xdr:col>
      <xdr:colOff>179916</xdr:colOff>
      <xdr:row>45</xdr:row>
      <xdr:rowOff>45025</xdr:rowOff>
    </xdr:to>
    <xdr:sp macro="" textlink="">
      <xdr:nvSpPr>
        <xdr:cNvPr id="30" name="Rectangle 29">
          <a:extLst>
            <a:ext uri="{FF2B5EF4-FFF2-40B4-BE49-F238E27FC236}">
              <a16:creationId xmlns:a16="http://schemas.microsoft.com/office/drawing/2014/main" id="{0E1A4E10-6A4F-49A7-ACD6-D730CE06C641}"/>
            </a:ext>
          </a:extLst>
        </xdr:cNvPr>
        <xdr:cNvSpPr/>
      </xdr:nvSpPr>
      <xdr:spPr>
        <a:xfrm>
          <a:off x="1598083" y="5959621"/>
          <a:ext cx="5334000" cy="2001737"/>
        </a:xfrm>
        <a:prstGeom prst="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338666</xdr:colOff>
      <xdr:row>35</xdr:row>
      <xdr:rowOff>148166</xdr:rowOff>
    </xdr:from>
    <xdr:to>
      <xdr:col>28</xdr:col>
      <xdr:colOff>550333</xdr:colOff>
      <xdr:row>44</xdr:row>
      <xdr:rowOff>171450</xdr:rowOff>
    </xdr:to>
    <xdr:graphicFrame macro="">
      <xdr:nvGraphicFramePr>
        <xdr:cNvPr id="31" name="Chart 30">
          <a:extLst>
            <a:ext uri="{FF2B5EF4-FFF2-40B4-BE49-F238E27FC236}">
              <a16:creationId xmlns:a16="http://schemas.microsoft.com/office/drawing/2014/main" id="{BCF7D46D-9769-4B38-90C4-628707A46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370416</xdr:colOff>
      <xdr:row>35</xdr:row>
      <xdr:rowOff>169333</xdr:rowOff>
    </xdr:from>
    <xdr:to>
      <xdr:col>13</xdr:col>
      <xdr:colOff>126999</xdr:colOff>
      <xdr:row>45</xdr:row>
      <xdr:rowOff>21167</xdr:rowOff>
    </xdr:to>
    <xdr:graphicFrame macro="">
      <xdr:nvGraphicFramePr>
        <xdr:cNvPr id="32" name="Chart 31">
          <a:extLst>
            <a:ext uri="{FF2B5EF4-FFF2-40B4-BE49-F238E27FC236}">
              <a16:creationId xmlns:a16="http://schemas.microsoft.com/office/drawing/2014/main" id="{DF0A3106-5F3B-4DE8-AAF0-F382E94E8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404888</xdr:colOff>
      <xdr:row>34</xdr:row>
      <xdr:rowOff>75293</xdr:rowOff>
    </xdr:from>
    <xdr:to>
      <xdr:col>13</xdr:col>
      <xdr:colOff>10583</xdr:colOff>
      <xdr:row>36</xdr:row>
      <xdr:rowOff>63500</xdr:rowOff>
    </xdr:to>
    <xdr:sp macro="" textlink="">
      <xdr:nvSpPr>
        <xdr:cNvPr id="33" name="TextBox 32">
          <a:extLst>
            <a:ext uri="{FF2B5EF4-FFF2-40B4-BE49-F238E27FC236}">
              <a16:creationId xmlns:a16="http://schemas.microsoft.com/office/drawing/2014/main" id="{ABAB345A-BA2D-43BC-84CA-068D67FEF904}"/>
            </a:ext>
          </a:extLst>
        </xdr:cNvPr>
        <xdr:cNvSpPr txBox="1"/>
      </xdr:nvSpPr>
      <xdr:spPr>
        <a:xfrm>
          <a:off x="2860221" y="6192460"/>
          <a:ext cx="5130195" cy="348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a:solidFill>
                <a:schemeClr val="accent6">
                  <a:lumMod val="50000"/>
                </a:schemeClr>
              </a:solidFill>
              <a:latin typeface="Georgia" panose="02040502050405020303" pitchFamily="18" charset="0"/>
            </a:rPr>
            <a:t>Effect</a:t>
          </a:r>
          <a:r>
            <a:rPr lang="en-GB" sz="1600" baseline="0">
              <a:solidFill>
                <a:schemeClr val="accent6">
                  <a:lumMod val="50000"/>
                </a:schemeClr>
              </a:solidFill>
              <a:latin typeface="Georgia" panose="02040502050405020303" pitchFamily="18" charset="0"/>
            </a:rPr>
            <a:t> of Attendance Percent on Previous Score Grade</a:t>
          </a:r>
          <a:endParaRPr lang="en-NG" sz="1600">
            <a:solidFill>
              <a:schemeClr val="accent6">
                <a:lumMod val="50000"/>
              </a:schemeClr>
            </a:solidFill>
            <a:latin typeface="Georgia" panose="02040502050405020303" pitchFamily="18" charset="0"/>
          </a:endParaRPr>
        </a:p>
      </xdr:txBody>
    </xdr:sp>
    <xdr:clientData/>
  </xdr:twoCellAnchor>
  <xdr:twoCellAnchor>
    <xdr:from>
      <xdr:col>13</xdr:col>
      <xdr:colOff>322338</xdr:colOff>
      <xdr:row>34</xdr:row>
      <xdr:rowOff>68943</xdr:rowOff>
    </xdr:from>
    <xdr:to>
      <xdr:col>17</xdr:col>
      <xdr:colOff>582083</xdr:colOff>
      <xdr:row>36</xdr:row>
      <xdr:rowOff>31750</xdr:rowOff>
    </xdr:to>
    <xdr:sp macro="" textlink="">
      <xdr:nvSpPr>
        <xdr:cNvPr id="34" name="TextBox 33">
          <a:extLst>
            <a:ext uri="{FF2B5EF4-FFF2-40B4-BE49-F238E27FC236}">
              <a16:creationId xmlns:a16="http://schemas.microsoft.com/office/drawing/2014/main" id="{E6984A84-0ABC-452B-8CD8-FCA0C186DAF3}"/>
            </a:ext>
          </a:extLst>
        </xdr:cNvPr>
        <xdr:cNvSpPr txBox="1"/>
      </xdr:nvSpPr>
      <xdr:spPr>
        <a:xfrm>
          <a:off x="8302171" y="6186110"/>
          <a:ext cx="2715079" cy="322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a:solidFill>
                <a:schemeClr val="accent6">
                  <a:lumMod val="50000"/>
                </a:schemeClr>
              </a:solidFill>
              <a:latin typeface="Georgia" panose="02040502050405020303" pitchFamily="18" charset="0"/>
            </a:rPr>
            <a:t>Average Study Hours</a:t>
          </a:r>
          <a:endParaRPr lang="en-NG" sz="1600">
            <a:solidFill>
              <a:schemeClr val="accent6">
                <a:lumMod val="50000"/>
              </a:schemeClr>
            </a:solidFill>
            <a:latin typeface="Georgia" panose="02040502050405020303" pitchFamily="18" charset="0"/>
          </a:endParaRPr>
        </a:p>
      </xdr:txBody>
    </xdr:sp>
    <xdr:clientData/>
  </xdr:twoCellAnchor>
  <xdr:twoCellAnchor editAs="oneCell">
    <xdr:from>
      <xdr:col>2</xdr:col>
      <xdr:colOff>21167</xdr:colOff>
      <xdr:row>33</xdr:row>
      <xdr:rowOff>6352</xdr:rowOff>
    </xdr:from>
    <xdr:to>
      <xdr:col>4</xdr:col>
      <xdr:colOff>211667</xdr:colOff>
      <xdr:row>44</xdr:row>
      <xdr:rowOff>74085</xdr:rowOff>
    </xdr:to>
    <mc:AlternateContent xmlns:mc="http://schemas.openxmlformats.org/markup-compatibility/2006">
      <mc:Choice xmlns:a14="http://schemas.microsoft.com/office/drawing/2010/main" Requires="a14">
        <xdr:graphicFrame macro="">
          <xdr:nvGraphicFramePr>
            <xdr:cNvPr id="36" name="Hours studied">
              <a:extLst>
                <a:ext uri="{FF2B5EF4-FFF2-40B4-BE49-F238E27FC236}">
                  <a16:creationId xmlns:a16="http://schemas.microsoft.com/office/drawing/2014/main" id="{635AB461-385A-4247-A88D-16DFAEE8999E}"/>
                </a:ext>
              </a:extLst>
            </xdr:cNvPr>
            <xdr:cNvGraphicFramePr/>
          </xdr:nvGraphicFramePr>
          <xdr:xfrm>
            <a:off x="0" y="0"/>
            <a:ext cx="0" cy="0"/>
          </xdr:xfrm>
          <a:graphic>
            <a:graphicData uri="http://schemas.microsoft.com/office/drawing/2010/slicer">
              <sle:slicer xmlns:sle="http://schemas.microsoft.com/office/drawing/2010/slicer" name="Hours studied"/>
            </a:graphicData>
          </a:graphic>
        </xdr:graphicFrame>
      </mc:Choice>
      <mc:Fallback>
        <xdr:sp macro="" textlink="">
          <xdr:nvSpPr>
            <xdr:cNvPr id="0" name=""/>
            <xdr:cNvSpPr>
              <a:spLocks noTextEdit="1"/>
            </xdr:cNvSpPr>
          </xdr:nvSpPr>
          <xdr:spPr>
            <a:xfrm>
              <a:off x="1248834" y="5943602"/>
              <a:ext cx="1418166" cy="204681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71968</xdr:colOff>
      <xdr:row>24</xdr:row>
      <xdr:rowOff>110069</xdr:rowOff>
    </xdr:from>
    <xdr:to>
      <xdr:col>4</xdr:col>
      <xdr:colOff>222251</xdr:colOff>
      <xdr:row>33</xdr:row>
      <xdr:rowOff>105835</xdr:rowOff>
    </xdr:to>
    <mc:AlternateContent xmlns:mc="http://schemas.openxmlformats.org/markup-compatibility/2006">
      <mc:Choice xmlns:a14="http://schemas.microsoft.com/office/drawing/2010/main" Requires="a14">
        <xdr:graphicFrame macro="">
          <xdr:nvGraphicFramePr>
            <xdr:cNvPr id="37" name="Attendance percent">
              <a:extLst>
                <a:ext uri="{FF2B5EF4-FFF2-40B4-BE49-F238E27FC236}">
                  <a16:creationId xmlns:a16="http://schemas.microsoft.com/office/drawing/2014/main" id="{A913D742-7C00-44EF-90FD-0FF78BF2DD9F}"/>
                </a:ext>
              </a:extLst>
            </xdr:cNvPr>
            <xdr:cNvGraphicFramePr/>
          </xdr:nvGraphicFramePr>
          <xdr:xfrm>
            <a:off x="0" y="0"/>
            <a:ext cx="0" cy="0"/>
          </xdr:xfrm>
          <a:graphic>
            <a:graphicData uri="http://schemas.microsoft.com/office/drawing/2010/slicer">
              <sle:slicer xmlns:sle="http://schemas.microsoft.com/office/drawing/2010/slicer" name="Attendance percent"/>
            </a:graphicData>
          </a:graphic>
        </xdr:graphicFrame>
      </mc:Choice>
      <mc:Fallback>
        <xdr:sp macro="" textlink="">
          <xdr:nvSpPr>
            <xdr:cNvPr id="0" name=""/>
            <xdr:cNvSpPr>
              <a:spLocks noTextEdit="1"/>
            </xdr:cNvSpPr>
          </xdr:nvSpPr>
          <xdr:spPr>
            <a:xfrm>
              <a:off x="1299635" y="4428069"/>
              <a:ext cx="1377949" cy="161501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391584</xdr:colOff>
      <xdr:row>3</xdr:row>
      <xdr:rowOff>173568</xdr:rowOff>
    </xdr:from>
    <xdr:to>
      <xdr:col>28</xdr:col>
      <xdr:colOff>594785</xdr:colOff>
      <xdr:row>6</xdr:row>
      <xdr:rowOff>63501</xdr:rowOff>
    </xdr:to>
    <mc:AlternateContent xmlns:mc="http://schemas.openxmlformats.org/markup-compatibility/2006">
      <mc:Choice xmlns:a14="http://schemas.microsoft.com/office/drawing/2010/main" Requires="a14">
        <xdr:graphicFrame macro="">
          <xdr:nvGraphicFramePr>
            <xdr:cNvPr id="38" name="Exam grade">
              <a:extLst>
                <a:ext uri="{FF2B5EF4-FFF2-40B4-BE49-F238E27FC236}">
                  <a16:creationId xmlns:a16="http://schemas.microsoft.com/office/drawing/2014/main" id="{7688BA2A-C65E-4E6A-B242-B73D939D78B7}"/>
                </a:ext>
              </a:extLst>
            </xdr:cNvPr>
            <xdr:cNvGraphicFramePr/>
          </xdr:nvGraphicFramePr>
          <xdr:xfrm>
            <a:off x="0" y="0"/>
            <a:ext cx="0" cy="0"/>
          </xdr:xfrm>
          <a:graphic>
            <a:graphicData uri="http://schemas.microsoft.com/office/drawing/2010/slicer">
              <sle:slicer xmlns:sle="http://schemas.microsoft.com/office/drawing/2010/slicer" name="Exam grade"/>
            </a:graphicData>
          </a:graphic>
        </xdr:graphicFrame>
      </mc:Choice>
      <mc:Fallback>
        <xdr:sp macro="" textlink="">
          <xdr:nvSpPr>
            <xdr:cNvPr id="0" name=""/>
            <xdr:cNvSpPr>
              <a:spLocks noTextEdit="1"/>
            </xdr:cNvSpPr>
          </xdr:nvSpPr>
          <xdr:spPr>
            <a:xfrm>
              <a:off x="15123584" y="713318"/>
              <a:ext cx="2658534" cy="42968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381001</xdr:colOff>
      <xdr:row>19</xdr:row>
      <xdr:rowOff>63501</xdr:rowOff>
    </xdr:from>
    <xdr:to>
      <xdr:col>3</xdr:col>
      <xdr:colOff>379168</xdr:colOff>
      <xdr:row>22</xdr:row>
      <xdr:rowOff>135751</xdr:rowOff>
    </xdr:to>
    <xdr:pic>
      <xdr:nvPicPr>
        <xdr:cNvPr id="40" name="Graphic 39" descr="Email with solid fill">
          <a:hlinkClick xmlns:r="http://schemas.openxmlformats.org/officeDocument/2006/relationships" r:id="rId9"/>
          <a:extLst>
            <a:ext uri="{FF2B5EF4-FFF2-40B4-BE49-F238E27FC236}">
              <a16:creationId xmlns:a16="http://schemas.microsoft.com/office/drawing/2014/main" id="{90C06474-D4D3-48B1-80CF-F4FF05C20C1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381001" y="3302001"/>
          <a:ext cx="612000" cy="612000"/>
        </a:xfrm>
        <a:prstGeom prst="rect">
          <a:avLst/>
        </a:prstGeom>
      </xdr:spPr>
    </xdr:pic>
    <xdr:clientData/>
  </xdr:twoCellAnchor>
  <xdr:twoCellAnchor editAs="oneCell">
    <xdr:from>
      <xdr:col>2</xdr:col>
      <xdr:colOff>414866</xdr:colOff>
      <xdr:row>9</xdr:row>
      <xdr:rowOff>127000</xdr:rowOff>
    </xdr:from>
    <xdr:to>
      <xdr:col>3</xdr:col>
      <xdr:colOff>413033</xdr:colOff>
      <xdr:row>13</xdr:row>
      <xdr:rowOff>8750</xdr:rowOff>
    </xdr:to>
    <xdr:pic>
      <xdr:nvPicPr>
        <xdr:cNvPr id="42" name="Graphic 41" descr="Eye with solid fill">
          <a:hlinkClick xmlns:r="http://schemas.openxmlformats.org/officeDocument/2006/relationships" r:id="rId12"/>
          <a:extLst>
            <a:ext uri="{FF2B5EF4-FFF2-40B4-BE49-F238E27FC236}">
              <a16:creationId xmlns:a16="http://schemas.microsoft.com/office/drawing/2014/main" id="{78FCFF9C-11A2-4151-906D-229D76B67DEA}"/>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14866" y="1566333"/>
          <a:ext cx="612000" cy="601417"/>
        </a:xfrm>
        <a:prstGeom prst="rect">
          <a:avLst/>
        </a:prstGeom>
      </xdr:spPr>
    </xdr:pic>
    <xdr:clientData/>
  </xdr:twoCellAnchor>
  <xdr:twoCellAnchor editAs="oneCell">
    <xdr:from>
      <xdr:col>2</xdr:col>
      <xdr:colOff>393699</xdr:colOff>
      <xdr:row>14</xdr:row>
      <xdr:rowOff>35982</xdr:rowOff>
    </xdr:from>
    <xdr:to>
      <xdr:col>3</xdr:col>
      <xdr:colOff>391866</xdr:colOff>
      <xdr:row>17</xdr:row>
      <xdr:rowOff>97649</xdr:rowOff>
    </xdr:to>
    <xdr:pic>
      <xdr:nvPicPr>
        <xdr:cNvPr id="44" name="Graphic 43" descr="Lightbulb and gear with solid fill">
          <a:hlinkClick xmlns:r="http://schemas.openxmlformats.org/officeDocument/2006/relationships" r:id="rId15"/>
          <a:extLst>
            <a:ext uri="{FF2B5EF4-FFF2-40B4-BE49-F238E27FC236}">
              <a16:creationId xmlns:a16="http://schemas.microsoft.com/office/drawing/2014/main" id="{37532EA7-0676-44EC-AEF1-E43F2160A59D}"/>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393699" y="2374899"/>
          <a:ext cx="612000" cy="601417"/>
        </a:xfrm>
        <a:prstGeom prst="rect">
          <a:avLst/>
        </a:prstGeom>
      </xdr:spPr>
    </xdr:pic>
    <xdr:clientData/>
  </xdr:twoCellAnchor>
  <xdr:twoCellAnchor>
    <xdr:from>
      <xdr:col>4</xdr:col>
      <xdr:colOff>466273</xdr:colOff>
      <xdr:row>4</xdr:row>
      <xdr:rowOff>60477</xdr:rowOff>
    </xdr:from>
    <xdr:to>
      <xdr:col>7</xdr:col>
      <xdr:colOff>241300</xdr:colOff>
      <xdr:row>5</xdr:row>
      <xdr:rowOff>101601</xdr:rowOff>
    </xdr:to>
    <xdr:sp macro="" textlink="">
      <xdr:nvSpPr>
        <xdr:cNvPr id="45" name="TextBox 44">
          <a:extLst>
            <a:ext uri="{FF2B5EF4-FFF2-40B4-BE49-F238E27FC236}">
              <a16:creationId xmlns:a16="http://schemas.microsoft.com/office/drawing/2014/main" id="{A524530F-0CDA-49BB-B38A-C10CAFDA269A}"/>
            </a:ext>
          </a:extLst>
        </xdr:cNvPr>
        <xdr:cNvSpPr txBox="1"/>
      </xdr:nvSpPr>
      <xdr:spPr>
        <a:xfrm>
          <a:off x="1685473" y="631977"/>
          <a:ext cx="1603827" cy="23162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900" i="1">
              <a:solidFill>
                <a:schemeClr val="accent6">
                  <a:lumMod val="50000"/>
                </a:schemeClr>
              </a:solidFill>
              <a:latin typeface="Georgia" panose="02040502050405020303" pitchFamily="18" charset="0"/>
            </a:rPr>
            <a:t>by Odinakachi</a:t>
          </a:r>
          <a:r>
            <a:rPr lang="en-GB" sz="900" i="1" baseline="0">
              <a:solidFill>
                <a:schemeClr val="accent6">
                  <a:lumMod val="50000"/>
                </a:schemeClr>
              </a:solidFill>
              <a:latin typeface="Georgia" panose="02040502050405020303" pitchFamily="18" charset="0"/>
            </a:rPr>
            <a:t> Nnuforole</a:t>
          </a:r>
          <a:endParaRPr lang="en-NG" sz="900" i="1">
            <a:solidFill>
              <a:schemeClr val="accent6">
                <a:lumMod val="50000"/>
              </a:schemeClr>
            </a:solidFill>
            <a:latin typeface="Georgia" panose="02040502050405020303" pitchFamily="18" charset="0"/>
          </a:endParaRPr>
        </a:p>
      </xdr:txBody>
    </xdr:sp>
    <xdr:clientData/>
  </xdr:twoCellAnchor>
  <xdr:twoCellAnchor>
    <xdr:from>
      <xdr:col>20</xdr:col>
      <xdr:colOff>158751</xdr:colOff>
      <xdr:row>9</xdr:row>
      <xdr:rowOff>6351</xdr:rowOff>
    </xdr:from>
    <xdr:to>
      <xdr:col>28</xdr:col>
      <xdr:colOff>571500</xdr:colOff>
      <xdr:row>19</xdr:row>
      <xdr:rowOff>84668</xdr:rowOff>
    </xdr:to>
    <xdr:graphicFrame macro="">
      <xdr:nvGraphicFramePr>
        <xdr:cNvPr id="46" name="Chart 45">
          <a:extLst>
            <a:ext uri="{FF2B5EF4-FFF2-40B4-BE49-F238E27FC236}">
              <a16:creationId xmlns:a16="http://schemas.microsoft.com/office/drawing/2014/main" id="{E2A53D1E-381B-42C1-BAE4-5B69FDD8E7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112788</xdr:colOff>
      <xdr:row>7</xdr:row>
      <xdr:rowOff>83760</xdr:rowOff>
    </xdr:from>
    <xdr:to>
      <xdr:col>26</xdr:col>
      <xdr:colOff>370416</xdr:colOff>
      <xdr:row>9</xdr:row>
      <xdr:rowOff>21167</xdr:rowOff>
    </xdr:to>
    <xdr:sp macro="" textlink="">
      <xdr:nvSpPr>
        <xdr:cNvPr id="47" name="TextBox 46">
          <a:extLst>
            <a:ext uri="{FF2B5EF4-FFF2-40B4-BE49-F238E27FC236}">
              <a16:creationId xmlns:a16="http://schemas.microsoft.com/office/drawing/2014/main" id="{49252BAF-9A88-4FC0-943E-A415646A7D95}"/>
            </a:ext>
          </a:extLst>
        </xdr:cNvPr>
        <xdr:cNvSpPr txBox="1"/>
      </xdr:nvSpPr>
      <xdr:spPr>
        <a:xfrm>
          <a:off x="12389455" y="1343177"/>
          <a:ext cx="3940628" cy="297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600">
              <a:solidFill>
                <a:schemeClr val="accent6">
                  <a:lumMod val="50000"/>
                </a:schemeClr>
              </a:solidFill>
              <a:latin typeface="Georgia" panose="02040502050405020303" pitchFamily="18" charset="0"/>
            </a:rPr>
            <a:t>Students Performance by Exam Grade</a:t>
          </a:r>
          <a:endParaRPr lang="en-NG" sz="1600">
            <a:solidFill>
              <a:schemeClr val="accent6">
                <a:lumMod val="50000"/>
              </a:schemeClr>
            </a:solidFill>
            <a:latin typeface="Georgia" panose="02040502050405020303" pitchFamily="18" charset="0"/>
          </a:endParaRPr>
        </a:p>
      </xdr:txBody>
    </xdr:sp>
    <xdr:clientData/>
  </xdr:twoCellAnchor>
  <xdr:twoCellAnchor>
    <xdr:from>
      <xdr:col>2</xdr:col>
      <xdr:colOff>146538</xdr:colOff>
      <xdr:row>12</xdr:row>
      <xdr:rowOff>32961</xdr:rowOff>
    </xdr:from>
    <xdr:to>
      <xdr:col>4</xdr:col>
      <xdr:colOff>201084</xdr:colOff>
      <xdr:row>13</xdr:row>
      <xdr:rowOff>127000</xdr:rowOff>
    </xdr:to>
    <xdr:sp macro="" textlink="">
      <xdr:nvSpPr>
        <xdr:cNvPr id="39" name="TextBox 38">
          <a:extLst>
            <a:ext uri="{FF2B5EF4-FFF2-40B4-BE49-F238E27FC236}">
              <a16:creationId xmlns:a16="http://schemas.microsoft.com/office/drawing/2014/main" id="{CBDCE811-A470-49CC-B303-810493C32450}"/>
            </a:ext>
          </a:extLst>
        </xdr:cNvPr>
        <xdr:cNvSpPr txBox="1"/>
      </xdr:nvSpPr>
      <xdr:spPr>
        <a:xfrm>
          <a:off x="1374205" y="2012044"/>
          <a:ext cx="1282212" cy="273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i="0">
              <a:solidFill>
                <a:schemeClr val="bg1"/>
              </a:solidFill>
              <a:latin typeface="Georgia" panose="02040502050405020303" pitchFamily="18" charset="0"/>
            </a:rPr>
            <a:t>Observation</a:t>
          </a:r>
          <a:endParaRPr lang="en-NG" sz="1400" i="0">
            <a:solidFill>
              <a:schemeClr val="bg1"/>
            </a:solidFill>
            <a:latin typeface="Georgia" panose="02040502050405020303" pitchFamily="18" charset="0"/>
          </a:endParaRPr>
        </a:p>
      </xdr:txBody>
    </xdr:sp>
    <xdr:clientData/>
  </xdr:twoCellAnchor>
  <xdr:twoCellAnchor>
    <xdr:from>
      <xdr:col>2</xdr:col>
      <xdr:colOff>347741</xdr:colOff>
      <xdr:row>22</xdr:row>
      <xdr:rowOff>121862</xdr:rowOff>
    </xdr:from>
    <xdr:to>
      <xdr:col>3</xdr:col>
      <xdr:colOff>476250</xdr:colOff>
      <xdr:row>24</xdr:row>
      <xdr:rowOff>21167</xdr:rowOff>
    </xdr:to>
    <xdr:sp macro="" textlink="">
      <xdr:nvSpPr>
        <xdr:cNvPr id="41" name="TextBox 40">
          <a:extLst>
            <a:ext uri="{FF2B5EF4-FFF2-40B4-BE49-F238E27FC236}">
              <a16:creationId xmlns:a16="http://schemas.microsoft.com/office/drawing/2014/main" id="{CDE36475-E1A3-47EA-AB51-CA1E4ED40D6E}"/>
            </a:ext>
          </a:extLst>
        </xdr:cNvPr>
        <xdr:cNvSpPr txBox="1"/>
      </xdr:nvSpPr>
      <xdr:spPr>
        <a:xfrm>
          <a:off x="1575408" y="3900112"/>
          <a:ext cx="742342" cy="259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i="0">
              <a:solidFill>
                <a:schemeClr val="bg1"/>
              </a:solidFill>
              <a:latin typeface="Georgia" panose="02040502050405020303" pitchFamily="18" charset="0"/>
            </a:rPr>
            <a:t>Email</a:t>
          </a:r>
          <a:endParaRPr lang="en-NG" sz="1400" i="0">
            <a:solidFill>
              <a:schemeClr val="bg1"/>
            </a:solidFill>
            <a:latin typeface="Georgia" panose="02040502050405020303" pitchFamily="18" charset="0"/>
          </a:endParaRPr>
        </a:p>
      </xdr:txBody>
    </xdr:sp>
    <xdr:clientData/>
  </xdr:twoCellAnchor>
  <xdr:twoCellAnchor>
    <xdr:from>
      <xdr:col>2</xdr:col>
      <xdr:colOff>29307</xdr:colOff>
      <xdr:row>17</xdr:row>
      <xdr:rowOff>9675</xdr:rowOff>
    </xdr:from>
    <xdr:to>
      <xdr:col>4</xdr:col>
      <xdr:colOff>306916</xdr:colOff>
      <xdr:row>18</xdr:row>
      <xdr:rowOff>127000</xdr:rowOff>
    </xdr:to>
    <xdr:sp macro="" textlink="">
      <xdr:nvSpPr>
        <xdr:cNvPr id="43" name="TextBox 42">
          <a:extLst>
            <a:ext uri="{FF2B5EF4-FFF2-40B4-BE49-F238E27FC236}">
              <a16:creationId xmlns:a16="http://schemas.microsoft.com/office/drawing/2014/main" id="{213FDA59-0708-4CAC-ABF4-21EF179E8400}"/>
            </a:ext>
          </a:extLst>
        </xdr:cNvPr>
        <xdr:cNvSpPr txBox="1"/>
      </xdr:nvSpPr>
      <xdr:spPr>
        <a:xfrm>
          <a:off x="1256974" y="2888342"/>
          <a:ext cx="1505275" cy="297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300" i="0">
              <a:solidFill>
                <a:schemeClr val="bg1"/>
              </a:solidFill>
              <a:latin typeface="Georgia" panose="02040502050405020303" pitchFamily="18" charset="0"/>
            </a:rPr>
            <a:t>Recommendation</a:t>
          </a:r>
          <a:endParaRPr lang="en-NG" sz="1300" i="0">
            <a:solidFill>
              <a:schemeClr val="bg1"/>
            </a:solidFill>
            <a:latin typeface="Georgia" panose="02040502050405020303"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209550</xdr:colOff>
      <xdr:row>0</xdr:row>
      <xdr:rowOff>82550</xdr:rowOff>
    </xdr:from>
    <xdr:to>
      <xdr:col>7</xdr:col>
      <xdr:colOff>139700</xdr:colOff>
      <xdr:row>13</xdr:row>
      <xdr:rowOff>31750</xdr:rowOff>
    </xdr:to>
    <xdr:sp macro="" textlink="">
      <xdr:nvSpPr>
        <xdr:cNvPr id="2" name="Rectangle 1">
          <a:extLst>
            <a:ext uri="{FF2B5EF4-FFF2-40B4-BE49-F238E27FC236}">
              <a16:creationId xmlns:a16="http://schemas.microsoft.com/office/drawing/2014/main" id="{42C2424D-4445-4C0D-8F2A-274E1D530FFF}"/>
            </a:ext>
          </a:extLst>
        </xdr:cNvPr>
        <xdr:cNvSpPr/>
      </xdr:nvSpPr>
      <xdr:spPr>
        <a:xfrm>
          <a:off x="209550" y="8255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6">
                  <a:lumMod val="50000"/>
                </a:schemeClr>
              </a:solidFill>
            </a:rPr>
            <a:t>Students with best performance</a:t>
          </a:r>
        </a:p>
        <a:p>
          <a:pPr algn="l"/>
          <a:r>
            <a:rPr lang="en-GB" sz="950">
              <a:solidFill>
                <a:schemeClr val="accent6">
                  <a:lumMod val="50000"/>
                </a:schemeClr>
              </a:solidFill>
            </a:rPr>
            <a:t>General Observation</a:t>
          </a:r>
        </a:p>
        <a:p>
          <a:pPr algn="l"/>
          <a:r>
            <a:rPr lang="en-GB" sz="950">
              <a:solidFill>
                <a:schemeClr val="accent6">
                  <a:lumMod val="50000"/>
                </a:schemeClr>
              </a:solidFill>
            </a:rPr>
            <a:t>- Using attendance percent</a:t>
          </a:r>
          <a:r>
            <a:rPr lang="en-GB" sz="950" baseline="0">
              <a:solidFill>
                <a:schemeClr val="accent6">
                  <a:lumMod val="50000"/>
                </a:schemeClr>
              </a:solidFill>
            </a:rPr>
            <a:t>, for 50-60 hours, t</a:t>
          </a:r>
          <a:r>
            <a:rPr lang="en-GB" sz="950">
              <a:solidFill>
                <a:schemeClr val="accent6">
                  <a:lumMod val="50000"/>
                </a:schemeClr>
              </a:solidFill>
            </a:rPr>
            <a:t>he student with the best performance is</a:t>
          </a:r>
          <a:r>
            <a:rPr lang="en-GB" sz="950" baseline="0">
              <a:solidFill>
                <a:schemeClr val="accent6">
                  <a:lumMod val="50000"/>
                </a:schemeClr>
              </a:solidFill>
            </a:rPr>
            <a:t> the student with the ID S061, with an exam score of 48.6</a:t>
          </a:r>
        </a:p>
        <a:p>
          <a:pPr algn="l"/>
          <a:r>
            <a:rPr lang="en-GB" sz="950" baseline="0">
              <a:solidFill>
                <a:schemeClr val="accent6">
                  <a:lumMod val="50000"/>
                </a:schemeClr>
              </a:solidFill>
            </a:rPr>
            <a:t>- </a:t>
          </a:r>
          <a:r>
            <a:rPr lang="en-GB" sz="900">
              <a:solidFill>
                <a:schemeClr val="accent6">
                  <a:lumMod val="50000"/>
                </a:schemeClr>
              </a:solidFill>
              <a:effectLst/>
              <a:latin typeface="+mn-lt"/>
              <a:ea typeface="+mn-ea"/>
              <a:cs typeface="+mn-cs"/>
            </a:rPr>
            <a:t>Using attendance percent</a:t>
          </a:r>
          <a:r>
            <a:rPr lang="en-GB" sz="900" baseline="0">
              <a:solidFill>
                <a:schemeClr val="accent6">
                  <a:lumMod val="50000"/>
                </a:schemeClr>
              </a:solidFill>
              <a:effectLst/>
              <a:latin typeface="+mn-lt"/>
              <a:ea typeface="+mn-ea"/>
              <a:cs typeface="+mn-cs"/>
            </a:rPr>
            <a:t>, for 60-70 hours, t</a:t>
          </a:r>
          <a:r>
            <a:rPr lang="en-GB" sz="900">
              <a:solidFill>
                <a:schemeClr val="accent6">
                  <a:lumMod val="50000"/>
                </a:schemeClr>
              </a:solidFill>
              <a:effectLst/>
              <a:latin typeface="+mn-lt"/>
              <a:ea typeface="+mn-ea"/>
              <a:cs typeface="+mn-cs"/>
            </a:rPr>
            <a:t>he student with the best performance is</a:t>
          </a:r>
          <a:r>
            <a:rPr lang="en-GB" sz="900" baseline="0">
              <a:solidFill>
                <a:schemeClr val="accent6">
                  <a:lumMod val="50000"/>
                </a:schemeClr>
              </a:solidFill>
              <a:effectLst/>
              <a:latin typeface="+mn-lt"/>
              <a:ea typeface="+mn-ea"/>
              <a:cs typeface="+mn-cs"/>
            </a:rPr>
            <a:t> the student with the ID S054, with an exam score of 46.4</a:t>
          </a:r>
        </a:p>
        <a:p>
          <a:pPr algn="l"/>
          <a:r>
            <a:rPr lang="en-GB" sz="900" baseline="0">
              <a:solidFill>
                <a:schemeClr val="accent6">
                  <a:lumMod val="50000"/>
                </a:schemeClr>
              </a:solidFill>
              <a:effectLst/>
              <a:latin typeface="+mn-lt"/>
              <a:ea typeface="+mn-ea"/>
              <a:cs typeface="+mn-cs"/>
            </a:rPr>
            <a:t>- </a:t>
          </a:r>
          <a:r>
            <a:rPr lang="en-GB" sz="900">
              <a:solidFill>
                <a:schemeClr val="accent6">
                  <a:lumMod val="50000"/>
                </a:schemeClr>
              </a:solidFill>
              <a:effectLst/>
              <a:latin typeface="+mn-lt"/>
              <a:ea typeface="+mn-ea"/>
              <a:cs typeface="+mn-cs"/>
            </a:rPr>
            <a:t>Using attendance percent</a:t>
          </a:r>
          <a:r>
            <a:rPr lang="en-GB" sz="900" baseline="0">
              <a:solidFill>
                <a:schemeClr val="accent6">
                  <a:lumMod val="50000"/>
                </a:schemeClr>
              </a:solidFill>
              <a:effectLst/>
              <a:latin typeface="+mn-lt"/>
              <a:ea typeface="+mn-ea"/>
              <a:cs typeface="+mn-cs"/>
            </a:rPr>
            <a:t>, for 70-80 hours, t</a:t>
          </a:r>
          <a:r>
            <a:rPr lang="en-GB" sz="900">
              <a:solidFill>
                <a:schemeClr val="accent6">
                  <a:lumMod val="50000"/>
                </a:schemeClr>
              </a:solidFill>
              <a:effectLst/>
              <a:latin typeface="+mn-lt"/>
              <a:ea typeface="+mn-ea"/>
              <a:cs typeface="+mn-cs"/>
            </a:rPr>
            <a:t>he student with the best performance is</a:t>
          </a:r>
          <a:r>
            <a:rPr lang="en-GB" sz="900" baseline="0">
              <a:solidFill>
                <a:schemeClr val="accent6">
                  <a:lumMod val="50000"/>
                </a:schemeClr>
              </a:solidFill>
              <a:effectLst/>
              <a:latin typeface="+mn-lt"/>
              <a:ea typeface="+mn-ea"/>
              <a:cs typeface="+mn-cs"/>
            </a:rPr>
            <a:t> the student with the ID S087, with an exam score of 51.3</a:t>
          </a:r>
        </a:p>
        <a:p>
          <a:pPr algn="l"/>
          <a:r>
            <a:rPr lang="en-GB" sz="900">
              <a:solidFill>
                <a:schemeClr val="accent6">
                  <a:lumMod val="50000"/>
                </a:schemeClr>
              </a:solidFill>
              <a:effectLst/>
              <a:latin typeface="+mn-lt"/>
              <a:ea typeface="+mn-ea"/>
              <a:cs typeface="+mn-cs"/>
            </a:rPr>
            <a:t>- Using attendance percent</a:t>
          </a:r>
          <a:r>
            <a:rPr lang="en-GB" sz="900" baseline="0">
              <a:solidFill>
                <a:schemeClr val="accent6">
                  <a:lumMod val="50000"/>
                </a:schemeClr>
              </a:solidFill>
              <a:effectLst/>
              <a:latin typeface="+mn-lt"/>
              <a:ea typeface="+mn-ea"/>
              <a:cs typeface="+mn-cs"/>
            </a:rPr>
            <a:t>, for 80-90 hours, t</a:t>
          </a:r>
          <a:r>
            <a:rPr lang="en-GB" sz="900">
              <a:solidFill>
                <a:schemeClr val="accent6">
                  <a:lumMod val="50000"/>
                </a:schemeClr>
              </a:solidFill>
              <a:effectLst/>
              <a:latin typeface="+mn-lt"/>
              <a:ea typeface="+mn-ea"/>
              <a:cs typeface="+mn-cs"/>
            </a:rPr>
            <a:t>he student with the best performance is</a:t>
          </a:r>
          <a:r>
            <a:rPr lang="en-GB" sz="900" baseline="0">
              <a:solidFill>
                <a:schemeClr val="accent6">
                  <a:lumMod val="50000"/>
                </a:schemeClr>
              </a:solidFill>
              <a:effectLst/>
              <a:latin typeface="+mn-lt"/>
              <a:ea typeface="+mn-ea"/>
              <a:cs typeface="+mn-cs"/>
            </a:rPr>
            <a:t> the student with the ID S084, with an exam score of 48.9</a:t>
          </a:r>
        </a:p>
        <a:p>
          <a:pPr marL="0" marR="0" lvl="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accent6">
                  <a:lumMod val="50000"/>
                </a:schemeClr>
              </a:solidFill>
              <a:effectLst/>
              <a:latin typeface="+mn-lt"/>
              <a:ea typeface="+mn-ea"/>
              <a:cs typeface="+mn-cs"/>
            </a:rPr>
            <a:t>- </a:t>
          </a:r>
          <a:r>
            <a:rPr lang="en-GB" sz="900">
              <a:solidFill>
                <a:schemeClr val="accent6">
                  <a:lumMod val="50000"/>
                </a:schemeClr>
              </a:solidFill>
              <a:effectLst/>
              <a:latin typeface="+mn-lt"/>
              <a:ea typeface="+mn-ea"/>
              <a:cs typeface="+mn-cs"/>
            </a:rPr>
            <a:t>Using attendance percent</a:t>
          </a:r>
          <a:r>
            <a:rPr lang="en-GB" sz="900" baseline="0">
              <a:solidFill>
                <a:schemeClr val="accent6">
                  <a:lumMod val="50000"/>
                </a:schemeClr>
              </a:solidFill>
              <a:effectLst/>
              <a:latin typeface="+mn-lt"/>
              <a:ea typeface="+mn-ea"/>
              <a:cs typeface="+mn-cs"/>
            </a:rPr>
            <a:t>, for 90-100 hours, t</a:t>
          </a:r>
          <a:r>
            <a:rPr lang="en-GB" sz="900">
              <a:solidFill>
                <a:schemeClr val="accent6">
                  <a:lumMod val="50000"/>
                </a:schemeClr>
              </a:solidFill>
              <a:effectLst/>
              <a:latin typeface="+mn-lt"/>
              <a:ea typeface="+mn-ea"/>
              <a:cs typeface="+mn-cs"/>
            </a:rPr>
            <a:t>he student with the best performance is</a:t>
          </a:r>
          <a:r>
            <a:rPr lang="en-GB" sz="900" baseline="0">
              <a:solidFill>
                <a:schemeClr val="accent6">
                  <a:lumMod val="50000"/>
                </a:schemeClr>
              </a:solidFill>
              <a:effectLst/>
              <a:latin typeface="+mn-lt"/>
              <a:ea typeface="+mn-ea"/>
              <a:cs typeface="+mn-cs"/>
            </a:rPr>
            <a:t> the student with the ID S121, with an exam score of 47.9</a:t>
          </a:r>
          <a:endParaRPr lang="en-NG" sz="900">
            <a:solidFill>
              <a:schemeClr val="accent6">
                <a:lumMod val="50000"/>
              </a:schemeClr>
            </a:solidFill>
            <a:effectLst/>
          </a:endParaRPr>
        </a:p>
        <a:p>
          <a:pPr algn="l"/>
          <a:endParaRPr lang="en-GB" sz="900" baseline="0">
            <a:solidFill>
              <a:schemeClr val="accent6">
                <a:lumMod val="50000"/>
              </a:schemeClr>
            </a:solidFill>
            <a:effectLst/>
            <a:latin typeface="+mn-lt"/>
            <a:ea typeface="+mn-ea"/>
            <a:cs typeface="+mn-cs"/>
          </a:endParaRPr>
        </a:p>
      </xdr:txBody>
    </xdr:sp>
    <xdr:clientData/>
  </xdr:twoCellAnchor>
  <xdr:twoCellAnchor>
    <xdr:from>
      <xdr:col>0</xdr:col>
      <xdr:colOff>190500</xdr:colOff>
      <xdr:row>14</xdr:row>
      <xdr:rowOff>133350</xdr:rowOff>
    </xdr:from>
    <xdr:to>
      <xdr:col>7</xdr:col>
      <xdr:colOff>120650</xdr:colOff>
      <xdr:row>27</xdr:row>
      <xdr:rowOff>82550</xdr:rowOff>
    </xdr:to>
    <xdr:sp macro="" textlink="">
      <xdr:nvSpPr>
        <xdr:cNvPr id="3" name="Rectangle 2">
          <a:extLst>
            <a:ext uri="{FF2B5EF4-FFF2-40B4-BE49-F238E27FC236}">
              <a16:creationId xmlns:a16="http://schemas.microsoft.com/office/drawing/2014/main" id="{44FE8E19-7CF2-4EE6-9A52-97A1D7396190}"/>
            </a:ext>
          </a:extLst>
        </xdr:cNvPr>
        <xdr:cNvSpPr/>
      </xdr:nvSpPr>
      <xdr:spPr>
        <a:xfrm>
          <a:off x="190500" y="271145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Average study hours</a:t>
          </a:r>
          <a:endParaRPr lang="en-GB" sz="1000" baseline="0">
            <a:solidFill>
              <a:schemeClr val="bg1"/>
            </a:solidFill>
          </a:endParaRPr>
        </a:p>
        <a:p>
          <a:pPr algn="l"/>
          <a:r>
            <a:rPr lang="en-GB" sz="900" baseline="0">
              <a:solidFill>
                <a:schemeClr val="bg1"/>
              </a:solidFill>
            </a:rPr>
            <a:t>General Observation</a:t>
          </a:r>
        </a:p>
        <a:p>
          <a:pPr algn="l"/>
          <a:r>
            <a:rPr lang="en-GB" sz="900" baseline="0">
              <a:solidFill>
                <a:schemeClr val="bg1"/>
              </a:solidFill>
            </a:rPr>
            <a:t>- The top average study hour by a student who attends 50-60% class is 12 hours and the lowest is 1.1 hours</a:t>
          </a:r>
        </a:p>
        <a:p>
          <a:pPr algn="l"/>
          <a:r>
            <a:rPr lang="en-GB" sz="900" baseline="0">
              <a:solidFill>
                <a:schemeClr val="bg1"/>
              </a:solidFill>
            </a:rPr>
            <a:t>- </a:t>
          </a:r>
          <a:r>
            <a:rPr lang="en-GB" sz="900" baseline="0">
              <a:solidFill>
                <a:schemeClr val="lt1"/>
              </a:solidFill>
              <a:effectLst/>
              <a:latin typeface="+mn-lt"/>
              <a:ea typeface="+mn-ea"/>
              <a:cs typeface="+mn-cs"/>
            </a:rPr>
            <a:t>The top average study hour by a student who attends 60-70% class is 11.5 hours and the lowest is 1.3 hours</a:t>
          </a:r>
        </a:p>
        <a:p>
          <a:pPr algn="l"/>
          <a:r>
            <a:rPr lang="en-GB" sz="900" baseline="0">
              <a:solidFill>
                <a:schemeClr val="lt1"/>
              </a:solidFill>
              <a:effectLst/>
              <a:latin typeface="+mn-lt"/>
              <a:ea typeface="+mn-ea"/>
              <a:cs typeface="+mn-cs"/>
            </a:rPr>
            <a:t>- The top average study hour by a student who attends 70-80% class is 12 hours and the lowest is 1.7 hours</a:t>
          </a:r>
        </a:p>
        <a:p>
          <a:pPr marL="0" marR="0" lvl="0" indent="0" algn="l" defTabSz="914400" eaLnBrk="1" fontAlgn="auto" latinLnBrk="0" hangingPunct="1">
            <a:lnSpc>
              <a:spcPct val="100000"/>
            </a:lnSpc>
            <a:spcBef>
              <a:spcPts val="0"/>
            </a:spcBef>
            <a:spcAft>
              <a:spcPts val="0"/>
            </a:spcAft>
            <a:buClrTx/>
            <a:buSzTx/>
            <a:buFontTx/>
            <a:buNone/>
            <a:tabLst/>
            <a:defRPr/>
          </a:pPr>
          <a:r>
            <a:rPr lang="en-GB" sz="1100" baseline="0">
              <a:solidFill>
                <a:schemeClr val="lt1"/>
              </a:solidFill>
              <a:effectLst/>
              <a:latin typeface="+mn-lt"/>
              <a:ea typeface="+mn-ea"/>
              <a:cs typeface="+mn-cs"/>
            </a:rPr>
            <a:t>- </a:t>
          </a:r>
          <a:r>
            <a:rPr lang="en-GB" sz="900" baseline="0">
              <a:solidFill>
                <a:schemeClr val="bg1"/>
              </a:solidFill>
              <a:effectLst/>
              <a:latin typeface="+mn-lt"/>
              <a:ea typeface="+mn-ea"/>
              <a:cs typeface="+mn-cs"/>
            </a:rPr>
            <a:t>The top average study hour by a student who attends 80-90% class is 11.9 hours and the lowest is 1 hour</a:t>
          </a:r>
          <a:endParaRPr lang="en-NG" sz="900">
            <a:solidFill>
              <a:schemeClr val="bg1"/>
            </a:solidFill>
            <a:effectLst/>
          </a:endParaRPr>
        </a:p>
        <a:p>
          <a:pPr algn="l"/>
          <a:r>
            <a:rPr lang="en-GB" sz="900" baseline="0">
              <a:solidFill>
                <a:schemeClr val="bg1"/>
              </a:solidFill>
            </a:rPr>
            <a:t>- </a:t>
          </a:r>
          <a:r>
            <a:rPr lang="en-GB" sz="900" baseline="0">
              <a:solidFill>
                <a:schemeClr val="lt1"/>
              </a:solidFill>
              <a:effectLst/>
              <a:latin typeface="+mn-lt"/>
              <a:ea typeface="+mn-ea"/>
              <a:cs typeface="+mn-cs"/>
            </a:rPr>
            <a:t>The top average study hour by a student who attends 90-100% class is 11.8 hours and the lowest is 1.2 hours</a:t>
          </a:r>
          <a:endParaRPr lang="en-GB" sz="900" baseline="0">
            <a:solidFill>
              <a:schemeClr val="bg1"/>
            </a:solidFill>
          </a:endParaRPr>
        </a:p>
        <a:p>
          <a:pPr algn="l"/>
          <a:r>
            <a:rPr lang="en-GB" sz="900" baseline="0">
              <a:solidFill>
                <a:schemeClr val="bg1"/>
              </a:solidFill>
            </a:rPr>
            <a:t>There were 3 students with an average hour of 12, including the best student  ID S087 </a:t>
          </a:r>
        </a:p>
        <a:p>
          <a:pPr algn="l"/>
          <a:r>
            <a:rPr lang="en-GB" sz="900" baseline="0">
              <a:solidFill>
                <a:schemeClr val="bg1"/>
              </a:solidFill>
            </a:rPr>
            <a:t>- Most of the students who performed well, spent more hours to study</a:t>
          </a:r>
        </a:p>
        <a:p>
          <a:pPr algn="l"/>
          <a:r>
            <a:rPr lang="en-GB" sz="900" baseline="0">
              <a:solidFill>
                <a:schemeClr val="bg1"/>
              </a:solidFill>
            </a:rPr>
            <a:t>- The students with poor exam performance, spent less time studying</a:t>
          </a:r>
        </a:p>
        <a:p>
          <a:pPr algn="l"/>
          <a:endParaRPr lang="en-GB" sz="1000" baseline="0">
            <a:solidFill>
              <a:schemeClr val="bg1"/>
            </a:solidFill>
          </a:endParaRPr>
        </a:p>
      </xdr:txBody>
    </xdr:sp>
    <xdr:clientData/>
  </xdr:twoCellAnchor>
  <xdr:twoCellAnchor>
    <xdr:from>
      <xdr:col>8</xdr:col>
      <xdr:colOff>152400</xdr:colOff>
      <xdr:row>14</xdr:row>
      <xdr:rowOff>107950</xdr:rowOff>
    </xdr:from>
    <xdr:to>
      <xdr:col>15</xdr:col>
      <xdr:colOff>82550</xdr:colOff>
      <xdr:row>27</xdr:row>
      <xdr:rowOff>57150</xdr:rowOff>
    </xdr:to>
    <xdr:sp macro="" textlink="">
      <xdr:nvSpPr>
        <xdr:cNvPr id="4" name="Rectangle 3">
          <a:extLst>
            <a:ext uri="{FF2B5EF4-FFF2-40B4-BE49-F238E27FC236}">
              <a16:creationId xmlns:a16="http://schemas.microsoft.com/office/drawing/2014/main" id="{68E90E70-C936-4AE3-B938-48F0A24E86E7}"/>
            </a:ext>
          </a:extLst>
        </xdr:cNvPr>
        <xdr:cNvSpPr/>
      </xdr:nvSpPr>
      <xdr:spPr>
        <a:xfrm>
          <a:off x="5029200" y="268605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100" b="0" i="0" baseline="0">
              <a:solidFill>
                <a:schemeClr val="accent6">
                  <a:lumMod val="50000"/>
                </a:schemeClr>
              </a:solidFill>
              <a:effectLst/>
              <a:latin typeface="+mn-lt"/>
              <a:ea typeface="+mn-ea"/>
              <a:cs typeface="+mn-cs"/>
            </a:rPr>
            <a:t>Effect of attendance percent on exam grade</a:t>
          </a:r>
          <a:endParaRPr lang="en-NG" sz="1000">
            <a:solidFill>
              <a:schemeClr val="accent6">
                <a:lumMod val="50000"/>
              </a:schemeClr>
            </a:solidFill>
            <a:effectLst/>
          </a:endParaRPr>
        </a:p>
        <a:p>
          <a:pPr algn="l"/>
          <a:r>
            <a:rPr lang="en-GB" sz="950" baseline="0">
              <a:solidFill>
                <a:schemeClr val="accent6">
                  <a:lumMod val="50000"/>
                </a:schemeClr>
              </a:solidFill>
            </a:rPr>
            <a:t>General Observation</a:t>
          </a:r>
        </a:p>
        <a:p>
          <a:pPr algn="l"/>
          <a:r>
            <a:rPr lang="en-GB" sz="950" baseline="0">
              <a:solidFill>
                <a:schemeClr val="accent6">
                  <a:lumMod val="50000"/>
                </a:schemeClr>
              </a:solidFill>
            </a:rPr>
            <a:t>- </a:t>
          </a:r>
          <a:r>
            <a:rPr lang="en-GB" sz="900" baseline="0">
              <a:solidFill>
                <a:schemeClr val="accent6">
                  <a:lumMod val="50000"/>
                </a:schemeClr>
              </a:solidFill>
              <a:effectLst/>
              <a:latin typeface="+mn-lt"/>
              <a:ea typeface="+mn-ea"/>
              <a:cs typeface="+mn-cs"/>
            </a:rPr>
            <a:t>Using 50-60% attendance percent, 1 had "B", 1 had "C", 20 had "D" , 12 had "E" &amp; 3 has "F" </a:t>
          </a:r>
          <a:endParaRPr lang="en-GB" sz="900" baseline="0">
            <a:solidFill>
              <a:schemeClr val="accent6">
                <a:lumMod val="50000"/>
              </a:schemeClr>
            </a:solidFill>
          </a:endParaRPr>
        </a:p>
        <a:p>
          <a:pPr algn="l"/>
          <a:r>
            <a:rPr lang="en-GB" sz="950" baseline="0">
              <a:solidFill>
                <a:schemeClr val="accent6">
                  <a:lumMod val="50000"/>
                </a:schemeClr>
              </a:solidFill>
            </a:rPr>
            <a:t>- </a:t>
          </a:r>
          <a:r>
            <a:rPr lang="en-GB" sz="900" baseline="0">
              <a:solidFill>
                <a:schemeClr val="accent6">
                  <a:lumMod val="50000"/>
                </a:schemeClr>
              </a:solidFill>
              <a:effectLst/>
              <a:latin typeface="+mn-lt"/>
              <a:ea typeface="+mn-ea"/>
              <a:cs typeface="+mn-cs"/>
            </a:rPr>
            <a:t>Using 60-70% attendance percent, 1 had "B", 7 had "C", 15 had "D" , &amp; 18 had "E" </a:t>
          </a:r>
        </a:p>
        <a:p>
          <a:pPr marL="0" marR="0" lvl="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accent6">
                  <a:lumMod val="50000"/>
                </a:schemeClr>
              </a:solidFill>
              <a:effectLst/>
              <a:latin typeface="+mn-lt"/>
              <a:ea typeface="+mn-ea"/>
              <a:cs typeface="+mn-cs"/>
            </a:rPr>
            <a:t>- Using 70-80% attendance percent, 1 had "A", 3 had "B", 2 had "C" , 24 had "D", 5 had "E" &amp; 1 had "F" </a:t>
          </a:r>
          <a:endParaRPr lang="en-NG" sz="900">
            <a:solidFill>
              <a:schemeClr val="accent6">
                <a:lumMod val="50000"/>
              </a:schemeClr>
            </a:solidFill>
            <a:effectLst/>
          </a:endParaRPr>
        </a:p>
        <a:p>
          <a:pPr algn="l"/>
          <a:r>
            <a:rPr lang="en-GB" sz="900" baseline="0">
              <a:solidFill>
                <a:schemeClr val="accent6">
                  <a:lumMod val="50000"/>
                </a:schemeClr>
              </a:solidFill>
              <a:effectLst/>
              <a:latin typeface="+mn-lt"/>
              <a:ea typeface="+mn-ea"/>
              <a:cs typeface="+mn-cs"/>
            </a:rPr>
            <a:t>- Using 80-90% attendance percent, 3 had "B", 8 had "C" , 31 had "D" &amp; 9 had "E"</a:t>
          </a:r>
        </a:p>
        <a:p>
          <a:pPr marL="0" marR="0" lvl="0" indent="0" algn="l" defTabSz="914400" eaLnBrk="1" fontAlgn="auto" latinLnBrk="0" hangingPunct="1">
            <a:lnSpc>
              <a:spcPct val="100000"/>
            </a:lnSpc>
            <a:spcBef>
              <a:spcPts val="0"/>
            </a:spcBef>
            <a:spcAft>
              <a:spcPts val="0"/>
            </a:spcAft>
            <a:buClrTx/>
            <a:buSzTx/>
            <a:buFontTx/>
            <a:buNone/>
            <a:tabLst/>
            <a:defRPr/>
          </a:pPr>
          <a:r>
            <a:rPr lang="en-GB" sz="900" baseline="0">
              <a:solidFill>
                <a:schemeClr val="accent6">
                  <a:lumMod val="50000"/>
                </a:schemeClr>
              </a:solidFill>
              <a:effectLst/>
              <a:latin typeface="+mn-lt"/>
              <a:ea typeface="+mn-ea"/>
              <a:cs typeface="+mn-cs"/>
            </a:rPr>
            <a:t>- Using 90-100% attendance percent, 3 had "B", 8 had "C" , 14 had "D" &amp; 10 had "E"</a:t>
          </a:r>
          <a:endParaRPr lang="en-NG" sz="900">
            <a:solidFill>
              <a:schemeClr val="accent6">
                <a:lumMod val="50000"/>
              </a:schemeClr>
            </a:solidFill>
            <a:effectLst/>
          </a:endParaRPr>
        </a:p>
        <a:p>
          <a:pPr algn="l"/>
          <a:endParaRPr lang="en-GB" sz="900" baseline="0">
            <a:solidFill>
              <a:schemeClr val="accent6">
                <a:lumMod val="50000"/>
              </a:schemeClr>
            </a:solidFill>
            <a:effectLst/>
            <a:latin typeface="+mn-lt"/>
            <a:ea typeface="+mn-ea"/>
            <a:cs typeface="+mn-cs"/>
          </a:endParaRPr>
        </a:p>
      </xdr:txBody>
    </xdr:sp>
    <xdr:clientData/>
  </xdr:twoCellAnchor>
  <xdr:twoCellAnchor>
    <xdr:from>
      <xdr:col>8</xdr:col>
      <xdr:colOff>158750</xdr:colOff>
      <xdr:row>0</xdr:row>
      <xdr:rowOff>101600</xdr:rowOff>
    </xdr:from>
    <xdr:to>
      <xdr:col>15</xdr:col>
      <xdr:colOff>88900</xdr:colOff>
      <xdr:row>13</xdr:row>
      <xdr:rowOff>50800</xdr:rowOff>
    </xdr:to>
    <xdr:sp macro="" textlink="">
      <xdr:nvSpPr>
        <xdr:cNvPr id="5" name="Rectangle 4">
          <a:extLst>
            <a:ext uri="{FF2B5EF4-FFF2-40B4-BE49-F238E27FC236}">
              <a16:creationId xmlns:a16="http://schemas.microsoft.com/office/drawing/2014/main" id="{ED0D8DC1-C9F4-498E-A3F0-052BB64C61FC}"/>
            </a:ext>
          </a:extLst>
        </xdr:cNvPr>
        <xdr:cNvSpPr/>
      </xdr:nvSpPr>
      <xdr:spPr>
        <a:xfrm>
          <a:off x="5035550" y="10160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Students with least performance</a:t>
          </a:r>
        </a:p>
        <a:p>
          <a:pPr algn="l"/>
          <a:r>
            <a:rPr lang="en-GB" sz="900">
              <a:solidFill>
                <a:schemeClr val="bg1"/>
              </a:solidFill>
            </a:rPr>
            <a:t>General Observation</a:t>
          </a:r>
        </a:p>
        <a:p>
          <a:pPr algn="l"/>
          <a:r>
            <a:rPr lang="en-GB" sz="900">
              <a:solidFill>
                <a:schemeClr val="bg1"/>
              </a:solidFill>
            </a:rPr>
            <a:t>- The student with the least performance using attendance percent at 50-60% is the student with the ID S020, with an exam score of 17.1</a:t>
          </a:r>
        </a:p>
        <a:p>
          <a:pPr algn="l"/>
          <a:r>
            <a:rPr lang="en-GB" sz="900">
              <a:solidFill>
                <a:schemeClr val="bg1"/>
              </a:solidFill>
            </a:rPr>
            <a:t>-</a:t>
          </a:r>
          <a:r>
            <a:rPr lang="en-GB" sz="900">
              <a:solidFill>
                <a:schemeClr val="lt1"/>
              </a:solidFill>
              <a:effectLst/>
              <a:latin typeface="+mn-lt"/>
              <a:ea typeface="+mn-ea"/>
              <a:cs typeface="+mn-cs"/>
            </a:rPr>
            <a:t>The student with the least performance using attendance percent at 60-70% is the student with the ID S067, with an exam score of</a:t>
          </a:r>
          <a:r>
            <a:rPr lang="en-GB" sz="900" baseline="0">
              <a:solidFill>
                <a:schemeClr val="lt1"/>
              </a:solidFill>
              <a:effectLst/>
              <a:latin typeface="+mn-lt"/>
              <a:ea typeface="+mn-ea"/>
              <a:cs typeface="+mn-cs"/>
            </a:rPr>
            <a:t> 21</a:t>
          </a:r>
          <a:r>
            <a:rPr lang="en-GB" sz="900">
              <a:solidFill>
                <a:schemeClr val="lt1"/>
              </a:solidFill>
              <a:effectLst/>
              <a:latin typeface="+mn-lt"/>
              <a:ea typeface="+mn-ea"/>
              <a:cs typeface="+mn-cs"/>
            </a:rPr>
            <a:t>.7</a:t>
          </a:r>
        </a:p>
        <a:p>
          <a:pPr algn="l"/>
          <a:r>
            <a:rPr lang="en-GB" sz="900">
              <a:solidFill>
                <a:schemeClr val="lt1"/>
              </a:solidFill>
              <a:effectLst/>
              <a:latin typeface="+mn-lt"/>
              <a:ea typeface="+mn-ea"/>
              <a:cs typeface="+mn-cs"/>
            </a:rPr>
            <a:t>-</a:t>
          </a:r>
          <a:r>
            <a:rPr lang="en-GB" sz="900" baseline="0">
              <a:solidFill>
                <a:schemeClr val="lt1"/>
              </a:solidFill>
              <a:effectLst/>
              <a:latin typeface="+mn-lt"/>
              <a:ea typeface="+mn-ea"/>
              <a:cs typeface="+mn-cs"/>
            </a:rPr>
            <a:t> </a:t>
          </a:r>
          <a:r>
            <a:rPr lang="en-GB" sz="900">
              <a:solidFill>
                <a:schemeClr val="lt1"/>
              </a:solidFill>
              <a:effectLst/>
              <a:latin typeface="+mn-lt"/>
              <a:ea typeface="+mn-ea"/>
              <a:cs typeface="+mn-cs"/>
            </a:rPr>
            <a:t>The student with the least performance using attendance percent at 70-80% is the student with the ID S008, with an exam score of</a:t>
          </a:r>
          <a:r>
            <a:rPr lang="en-GB" sz="900" baseline="0">
              <a:solidFill>
                <a:schemeClr val="lt1"/>
              </a:solidFill>
              <a:effectLst/>
              <a:latin typeface="+mn-lt"/>
              <a:ea typeface="+mn-ea"/>
              <a:cs typeface="+mn-cs"/>
            </a:rPr>
            <a:t> 18.3</a:t>
          </a:r>
        </a:p>
        <a:p>
          <a:pPr algn="l"/>
          <a:r>
            <a:rPr lang="en-GB" sz="1100">
              <a:solidFill>
                <a:schemeClr val="lt1"/>
              </a:solidFill>
              <a:effectLst/>
              <a:latin typeface="+mn-lt"/>
              <a:ea typeface="+mn-ea"/>
              <a:cs typeface="+mn-cs"/>
            </a:rPr>
            <a:t>- </a:t>
          </a:r>
          <a:r>
            <a:rPr lang="en-GB" sz="900">
              <a:solidFill>
                <a:schemeClr val="lt1"/>
              </a:solidFill>
              <a:effectLst/>
              <a:latin typeface="+mn-lt"/>
              <a:ea typeface="+mn-ea"/>
              <a:cs typeface="+mn-cs"/>
            </a:rPr>
            <a:t>The student with the least performance using attendance percent at 80-90% is the student with the ID S125, with an exam score of</a:t>
          </a:r>
          <a:r>
            <a:rPr lang="en-GB" sz="900" baseline="0">
              <a:solidFill>
                <a:schemeClr val="lt1"/>
              </a:solidFill>
              <a:effectLst/>
              <a:latin typeface="+mn-lt"/>
              <a:ea typeface="+mn-ea"/>
              <a:cs typeface="+mn-cs"/>
            </a:rPr>
            <a:t> 21.2</a:t>
          </a:r>
        </a:p>
        <a:p>
          <a:pPr algn="l"/>
          <a:r>
            <a:rPr lang="en-GB" sz="900" baseline="0">
              <a:solidFill>
                <a:schemeClr val="lt1"/>
              </a:solidFill>
              <a:effectLst/>
              <a:latin typeface="+mn-lt"/>
              <a:ea typeface="+mn-ea"/>
              <a:cs typeface="+mn-cs"/>
            </a:rPr>
            <a:t>- </a:t>
          </a:r>
          <a:r>
            <a:rPr lang="en-GB" sz="900">
              <a:solidFill>
                <a:schemeClr val="lt1"/>
              </a:solidFill>
              <a:effectLst/>
              <a:latin typeface="+mn-lt"/>
              <a:ea typeface="+mn-ea"/>
              <a:cs typeface="+mn-cs"/>
            </a:rPr>
            <a:t>The student with the least performance using attendance percent at 80-90% is the student with the ID S170, with an exam score of</a:t>
          </a:r>
          <a:r>
            <a:rPr lang="en-GB" sz="900" baseline="0">
              <a:solidFill>
                <a:schemeClr val="lt1"/>
              </a:solidFill>
              <a:effectLst/>
              <a:latin typeface="+mn-lt"/>
              <a:ea typeface="+mn-ea"/>
              <a:cs typeface="+mn-cs"/>
            </a:rPr>
            <a:t> 22.8</a:t>
          </a:r>
          <a:endParaRPr lang="en-GB" sz="900">
            <a:solidFill>
              <a:schemeClr val="bg1"/>
            </a:solidFill>
          </a:endParaRPr>
        </a:p>
        <a:p>
          <a:pPr algn="l"/>
          <a:r>
            <a:rPr lang="en-GB" sz="900">
              <a:solidFill>
                <a:schemeClr val="bg1"/>
              </a:solidFill>
            </a:rPr>
            <a:t> </a:t>
          </a:r>
          <a:endParaRPr lang="en-GB" sz="1000">
            <a:solidFill>
              <a:schemeClr val="bg1"/>
            </a:solidFill>
          </a:endParaRPr>
        </a:p>
      </xdr:txBody>
    </xdr:sp>
    <xdr:clientData/>
  </xdr:twoCellAnchor>
  <xdr:twoCellAnchor>
    <xdr:from>
      <xdr:col>15</xdr:col>
      <xdr:colOff>469900</xdr:colOff>
      <xdr:row>0</xdr:row>
      <xdr:rowOff>101600</xdr:rowOff>
    </xdr:from>
    <xdr:to>
      <xdr:col>22</xdr:col>
      <xdr:colOff>400050</xdr:colOff>
      <xdr:row>13</xdr:row>
      <xdr:rowOff>50800</xdr:rowOff>
    </xdr:to>
    <xdr:sp macro="" textlink="">
      <xdr:nvSpPr>
        <xdr:cNvPr id="6" name="Rectangle 5">
          <a:extLst>
            <a:ext uri="{FF2B5EF4-FFF2-40B4-BE49-F238E27FC236}">
              <a16:creationId xmlns:a16="http://schemas.microsoft.com/office/drawing/2014/main" id="{07EC9A6D-5720-4B99-8558-51F3BE62F4F8}"/>
            </a:ext>
          </a:extLst>
        </xdr:cNvPr>
        <xdr:cNvSpPr/>
      </xdr:nvSpPr>
      <xdr:spPr>
        <a:xfrm>
          <a:off x="9613900" y="10160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6">
                  <a:lumMod val="50000"/>
                </a:schemeClr>
              </a:solidFill>
            </a:rPr>
            <a:t>Students performance by exam grade</a:t>
          </a:r>
        </a:p>
        <a:p>
          <a:pPr algn="l"/>
          <a:r>
            <a:rPr lang="en-GB" sz="950">
              <a:solidFill>
                <a:schemeClr val="accent6">
                  <a:lumMod val="50000"/>
                </a:schemeClr>
              </a:solidFill>
            </a:rPr>
            <a:t>General Observation</a:t>
          </a:r>
        </a:p>
        <a:p>
          <a:pPr algn="l"/>
          <a:r>
            <a:rPr lang="en-GB" sz="950">
              <a:solidFill>
                <a:schemeClr val="accent6">
                  <a:lumMod val="50000"/>
                </a:schemeClr>
              </a:solidFill>
            </a:rPr>
            <a:t>- For 50-60% class attended, 2.7%</a:t>
          </a:r>
          <a:r>
            <a:rPr lang="en-GB" sz="950" baseline="0">
              <a:solidFill>
                <a:schemeClr val="accent6">
                  <a:lumMod val="50000"/>
                </a:schemeClr>
              </a:solidFill>
            </a:rPr>
            <a:t> had a B &amp; C respectively, 54.1% had a D, 32.4% had E and 8.1% had an F in their exam score graded</a:t>
          </a:r>
          <a:r>
            <a:rPr lang="en-GB" sz="950">
              <a:solidFill>
                <a:schemeClr val="accent6">
                  <a:lumMod val="50000"/>
                </a:schemeClr>
              </a:solidFill>
            </a:rPr>
            <a:t> </a:t>
          </a:r>
          <a:endParaRPr lang="en-GB" sz="950" baseline="0">
            <a:solidFill>
              <a:schemeClr val="accent6">
                <a:lumMod val="50000"/>
              </a:schemeClr>
            </a:solidFill>
          </a:endParaRPr>
        </a:p>
        <a:p>
          <a:pPr algn="l"/>
          <a:r>
            <a:rPr lang="en-GB" sz="900" baseline="0">
              <a:solidFill>
                <a:schemeClr val="accent6">
                  <a:lumMod val="50000"/>
                </a:schemeClr>
              </a:solidFill>
            </a:rPr>
            <a:t>- </a:t>
          </a:r>
          <a:r>
            <a:rPr lang="en-GB" sz="900">
              <a:solidFill>
                <a:schemeClr val="accent6">
                  <a:lumMod val="50000"/>
                </a:schemeClr>
              </a:solidFill>
              <a:effectLst/>
              <a:latin typeface="+mn-lt"/>
              <a:ea typeface="+mn-ea"/>
              <a:cs typeface="+mn-cs"/>
            </a:rPr>
            <a:t>For 60-70% class attended, 2.4%</a:t>
          </a:r>
          <a:r>
            <a:rPr lang="en-GB" sz="900" baseline="0">
              <a:solidFill>
                <a:schemeClr val="accent6">
                  <a:lumMod val="50000"/>
                </a:schemeClr>
              </a:solidFill>
              <a:effectLst/>
              <a:latin typeface="+mn-lt"/>
              <a:ea typeface="+mn-ea"/>
              <a:cs typeface="+mn-cs"/>
            </a:rPr>
            <a:t> had a B, 17.1% had a C, 36.6% had a D, and 43.9% had E </a:t>
          </a:r>
          <a:endParaRPr lang="en-GB" sz="900">
            <a:solidFill>
              <a:schemeClr val="accent6">
                <a:lumMod val="50000"/>
              </a:schemeClr>
            </a:solidFill>
            <a:effectLst/>
            <a:latin typeface="+mn-lt"/>
            <a:ea typeface="+mn-ea"/>
            <a:cs typeface="+mn-cs"/>
          </a:endParaRPr>
        </a:p>
        <a:p>
          <a:pPr algn="l"/>
          <a:r>
            <a:rPr lang="en-GB" sz="900">
              <a:solidFill>
                <a:schemeClr val="accent6">
                  <a:lumMod val="50000"/>
                </a:schemeClr>
              </a:solidFill>
              <a:effectLst/>
              <a:latin typeface="+mn-lt"/>
              <a:ea typeface="+mn-ea"/>
              <a:cs typeface="+mn-cs"/>
            </a:rPr>
            <a:t>- For 70-80% class attended, 2.8% had A, 8.3%</a:t>
          </a:r>
          <a:r>
            <a:rPr lang="en-GB" sz="900" baseline="0">
              <a:solidFill>
                <a:schemeClr val="accent6">
                  <a:lumMod val="50000"/>
                </a:schemeClr>
              </a:solidFill>
              <a:effectLst/>
              <a:latin typeface="+mn-lt"/>
              <a:ea typeface="+mn-ea"/>
              <a:cs typeface="+mn-cs"/>
            </a:rPr>
            <a:t> had a B, 5.6% had a C, 66.7% had a D, 13.9% had E and 2.8% had an F in their exam score graded</a:t>
          </a:r>
          <a:r>
            <a:rPr lang="en-GB" sz="900">
              <a:solidFill>
                <a:schemeClr val="accent6">
                  <a:lumMod val="50000"/>
                </a:schemeClr>
              </a:solidFill>
              <a:effectLst/>
              <a:latin typeface="+mn-lt"/>
              <a:ea typeface="+mn-ea"/>
              <a:cs typeface="+mn-cs"/>
            </a:rPr>
            <a:t> </a:t>
          </a:r>
        </a:p>
        <a:p>
          <a:pPr algn="l"/>
          <a:r>
            <a:rPr lang="en-GB" sz="900">
              <a:solidFill>
                <a:schemeClr val="accent6">
                  <a:lumMod val="50000"/>
                </a:schemeClr>
              </a:solidFill>
              <a:effectLst/>
              <a:latin typeface="+mn-lt"/>
              <a:ea typeface="+mn-ea"/>
              <a:cs typeface="+mn-cs"/>
            </a:rPr>
            <a:t>- For 80-90% class attended, 5.9%</a:t>
          </a:r>
          <a:r>
            <a:rPr lang="en-GB" sz="900" baseline="0">
              <a:solidFill>
                <a:schemeClr val="accent6">
                  <a:lumMod val="50000"/>
                </a:schemeClr>
              </a:solidFill>
              <a:effectLst/>
              <a:latin typeface="+mn-lt"/>
              <a:ea typeface="+mn-ea"/>
              <a:cs typeface="+mn-cs"/>
            </a:rPr>
            <a:t> had a B, 15.7% had C, 60.8% had a D, and 17.6% had E in their exam score graded</a:t>
          </a:r>
          <a:r>
            <a:rPr lang="en-GB" sz="900">
              <a:solidFill>
                <a:schemeClr val="accent6">
                  <a:lumMod val="50000"/>
                </a:schemeClr>
              </a:solidFill>
              <a:effectLst/>
              <a:latin typeface="+mn-lt"/>
              <a:ea typeface="+mn-ea"/>
              <a:cs typeface="+mn-cs"/>
            </a:rPr>
            <a:t> </a:t>
          </a:r>
        </a:p>
        <a:p>
          <a:pPr algn="l"/>
          <a:r>
            <a:rPr lang="en-GB" sz="900">
              <a:solidFill>
                <a:schemeClr val="accent6">
                  <a:lumMod val="50000"/>
                </a:schemeClr>
              </a:solidFill>
              <a:effectLst/>
              <a:latin typeface="+mn-lt"/>
              <a:ea typeface="+mn-ea"/>
              <a:cs typeface="+mn-cs"/>
            </a:rPr>
            <a:t>- For 90-100% class attended, 8.6%</a:t>
          </a:r>
          <a:r>
            <a:rPr lang="en-GB" sz="900" baseline="0">
              <a:solidFill>
                <a:schemeClr val="accent6">
                  <a:lumMod val="50000"/>
                </a:schemeClr>
              </a:solidFill>
              <a:effectLst/>
              <a:latin typeface="+mn-lt"/>
              <a:ea typeface="+mn-ea"/>
              <a:cs typeface="+mn-cs"/>
            </a:rPr>
            <a:t> had a B, 22.9% had C, 40% had a D, and 28.6% had E in their exam score graded</a:t>
          </a:r>
          <a:r>
            <a:rPr lang="en-GB" sz="900">
              <a:solidFill>
                <a:schemeClr val="accent6">
                  <a:lumMod val="50000"/>
                </a:schemeClr>
              </a:solidFill>
              <a:effectLst/>
              <a:latin typeface="+mn-lt"/>
              <a:ea typeface="+mn-ea"/>
              <a:cs typeface="+mn-cs"/>
            </a:rPr>
            <a:t> </a:t>
          </a:r>
          <a:endParaRPr lang="en-GB" sz="900">
            <a:solidFill>
              <a:schemeClr val="accent6">
                <a:lumMod val="50000"/>
              </a:schemeClr>
            </a:solidFill>
          </a:endParaRPr>
        </a:p>
      </xdr:txBody>
    </xdr:sp>
    <xdr:clientData/>
  </xdr:twoCellAnchor>
  <xdr:twoCellAnchor>
    <xdr:from>
      <xdr:col>15</xdr:col>
      <xdr:colOff>457200</xdr:colOff>
      <xdr:row>14</xdr:row>
      <xdr:rowOff>57150</xdr:rowOff>
    </xdr:from>
    <xdr:to>
      <xdr:col>22</xdr:col>
      <xdr:colOff>387350</xdr:colOff>
      <xdr:row>27</xdr:row>
      <xdr:rowOff>6350</xdr:rowOff>
    </xdr:to>
    <xdr:sp macro="" textlink="">
      <xdr:nvSpPr>
        <xdr:cNvPr id="7" name="Rectangle 6">
          <a:extLst>
            <a:ext uri="{FF2B5EF4-FFF2-40B4-BE49-F238E27FC236}">
              <a16:creationId xmlns:a16="http://schemas.microsoft.com/office/drawing/2014/main" id="{510FEDF6-B009-4384-8DFE-4024E9E60D24}"/>
            </a:ext>
          </a:extLst>
        </xdr:cNvPr>
        <xdr:cNvSpPr/>
      </xdr:nvSpPr>
      <xdr:spPr>
        <a:xfrm>
          <a:off x="9601200" y="263525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rtl="0"/>
          <a:r>
            <a:rPr lang="en-US" sz="1100" b="0" i="0" baseline="0">
              <a:solidFill>
                <a:schemeClr val="lt1"/>
              </a:solidFill>
              <a:effectLst/>
              <a:latin typeface="+mn-lt"/>
              <a:ea typeface="+mn-ea"/>
              <a:cs typeface="+mn-cs"/>
            </a:rPr>
            <a:t>Effect of Attendance Percent on Previous Score Grade</a:t>
          </a:r>
          <a:endParaRPr lang="en-NG" sz="1000">
            <a:effectLst/>
          </a:endParaRPr>
        </a:p>
        <a:p>
          <a:pPr algn="l"/>
          <a:r>
            <a:rPr lang="en-GB" sz="1000">
              <a:solidFill>
                <a:schemeClr val="bg1"/>
              </a:solidFill>
            </a:rPr>
            <a:t>Observation</a:t>
          </a:r>
        </a:p>
        <a:p>
          <a:r>
            <a:rPr lang="en-GB" sz="900" baseline="0">
              <a:solidFill>
                <a:schemeClr val="lt1"/>
              </a:solidFill>
              <a:effectLst/>
              <a:latin typeface="+mn-lt"/>
              <a:ea typeface="+mn-ea"/>
              <a:cs typeface="+mn-cs"/>
            </a:rPr>
            <a:t>- Using 80-90% attendance percent, 15 had "A", 16 had "B", 15 had "C", 1 had "D", 3 had "E" &amp; 1 had "F" </a:t>
          </a:r>
        </a:p>
        <a:p>
          <a:r>
            <a:rPr lang="en-GB" sz="950" baseline="0">
              <a:solidFill>
                <a:schemeClr val="lt1"/>
              </a:solidFill>
              <a:effectLst/>
              <a:latin typeface="+mn-lt"/>
              <a:ea typeface="+mn-ea"/>
              <a:cs typeface="+mn-cs"/>
            </a:rPr>
            <a:t>- </a:t>
          </a:r>
          <a:r>
            <a:rPr lang="en-GB" sz="900" baseline="0">
              <a:solidFill>
                <a:schemeClr val="lt1"/>
              </a:solidFill>
              <a:effectLst/>
              <a:latin typeface="+mn-lt"/>
              <a:ea typeface="+mn-ea"/>
              <a:cs typeface="+mn-cs"/>
            </a:rPr>
            <a:t>Using 60-70% attendance percent, 7 had "A", 16 had "B", 7 had "C", 8 had "D" &amp; 3 had "E" </a:t>
          </a:r>
          <a:endParaRPr lang="en-NG" sz="900">
            <a:effectLst/>
          </a:endParaRPr>
        </a:p>
        <a:p>
          <a:pPr eaLnBrk="1" fontAlgn="auto" latinLnBrk="0" hangingPunct="1"/>
          <a:r>
            <a:rPr lang="en-GB" sz="950" baseline="0">
              <a:solidFill>
                <a:schemeClr val="lt1"/>
              </a:solidFill>
              <a:effectLst/>
              <a:latin typeface="+mn-lt"/>
              <a:ea typeface="+mn-ea"/>
              <a:cs typeface="+mn-cs"/>
            </a:rPr>
            <a:t>- Using 50-60% attendance percent, 6 had "A", 15 had "B", 9 had "C", 1 had "D" &amp; 6 had "E" </a:t>
          </a:r>
          <a:endParaRPr lang="en-NG" sz="950">
            <a:effectLst/>
          </a:endParaRPr>
        </a:p>
        <a:p>
          <a:pPr eaLnBrk="1" fontAlgn="auto" latinLnBrk="0" hangingPunct="1"/>
          <a:r>
            <a:rPr lang="en-GB" sz="950" baseline="0">
              <a:solidFill>
                <a:schemeClr val="lt1"/>
              </a:solidFill>
              <a:effectLst/>
              <a:latin typeface="+mn-lt"/>
              <a:ea typeface="+mn-ea"/>
              <a:cs typeface="+mn-cs"/>
            </a:rPr>
            <a:t>- </a:t>
          </a:r>
          <a:r>
            <a:rPr lang="en-GB" sz="900" baseline="0">
              <a:solidFill>
                <a:schemeClr val="lt1"/>
              </a:solidFill>
              <a:effectLst/>
              <a:latin typeface="+mn-lt"/>
              <a:ea typeface="+mn-ea"/>
              <a:cs typeface="+mn-cs"/>
            </a:rPr>
            <a:t>Using 70-80% attendance percent, 10 had "A", 12 had "B", 11 had "C", 2 had "E" &amp; 1 had "F" </a:t>
          </a:r>
          <a:endParaRPr lang="en-NG" sz="9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GB" sz="950" baseline="0">
              <a:solidFill>
                <a:schemeClr val="lt1"/>
              </a:solidFill>
              <a:effectLst/>
              <a:latin typeface="+mn-lt"/>
              <a:ea typeface="+mn-ea"/>
              <a:cs typeface="+mn-cs"/>
            </a:rPr>
            <a:t>- </a:t>
          </a:r>
          <a:r>
            <a:rPr lang="en-GB" sz="900" baseline="0">
              <a:solidFill>
                <a:schemeClr val="lt1"/>
              </a:solidFill>
              <a:effectLst/>
              <a:latin typeface="+mn-lt"/>
              <a:ea typeface="+mn-ea"/>
              <a:cs typeface="+mn-cs"/>
            </a:rPr>
            <a:t>Using 90-100% attendance percent, 10 had "A", 9 had "B", 8 had "C", 4 had "D", 3 had "E" &amp; 1 had "F" </a:t>
          </a:r>
          <a:endParaRPr lang="en-NG" sz="900">
            <a:effectLst/>
          </a:endParaRPr>
        </a:p>
        <a:p>
          <a:pPr eaLnBrk="1" fontAlgn="auto" latinLnBrk="0" hangingPunct="1"/>
          <a:endParaRPr lang="en-NG" sz="950">
            <a:effectLst/>
          </a:endParaRPr>
        </a:p>
        <a:p>
          <a:pPr algn="l"/>
          <a:endParaRPr lang="en-GB" sz="1000">
            <a:solidFill>
              <a:schemeClr val="bg1"/>
            </a:solidFill>
          </a:endParaRPr>
        </a:p>
      </xdr:txBody>
    </xdr:sp>
    <xdr:clientData/>
  </xdr:twoCellAnchor>
  <xdr:twoCellAnchor>
    <xdr:from>
      <xdr:col>23</xdr:col>
      <xdr:colOff>158750</xdr:colOff>
      <xdr:row>0</xdr:row>
      <xdr:rowOff>101600</xdr:rowOff>
    </xdr:from>
    <xdr:to>
      <xdr:col>30</xdr:col>
      <xdr:colOff>88900</xdr:colOff>
      <xdr:row>13</xdr:row>
      <xdr:rowOff>50800</xdr:rowOff>
    </xdr:to>
    <xdr:sp macro="" textlink="">
      <xdr:nvSpPr>
        <xdr:cNvPr id="8" name="Rectangle 7">
          <a:extLst>
            <a:ext uri="{FF2B5EF4-FFF2-40B4-BE49-F238E27FC236}">
              <a16:creationId xmlns:a16="http://schemas.microsoft.com/office/drawing/2014/main" id="{FBE75E13-C7F8-4340-9167-3FF2C01EE950}"/>
            </a:ext>
          </a:extLst>
        </xdr:cNvPr>
        <xdr:cNvSpPr/>
      </xdr:nvSpPr>
      <xdr:spPr>
        <a:xfrm>
          <a:off x="14179550" y="10160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Relationship between hours studied and exam scores</a:t>
          </a:r>
        </a:p>
        <a:p>
          <a:pPr algn="l"/>
          <a:r>
            <a:rPr lang="en-GB" sz="1000">
              <a:solidFill>
                <a:schemeClr val="bg1"/>
              </a:solidFill>
            </a:rPr>
            <a:t>General Observation</a:t>
          </a:r>
        </a:p>
        <a:p>
          <a:pPr algn="l"/>
          <a:r>
            <a:rPr lang="en-GB" sz="900">
              <a:solidFill>
                <a:schemeClr val="bg1"/>
              </a:solidFill>
            </a:rPr>
            <a:t>- The</a:t>
          </a:r>
          <a:r>
            <a:rPr lang="en-GB" sz="900" baseline="0">
              <a:solidFill>
                <a:schemeClr val="bg1"/>
              </a:solidFill>
            </a:rPr>
            <a:t> exam scores of students that studied for 12 hours were: 51.3, 42 &amp; 36.9</a:t>
          </a:r>
        </a:p>
        <a:p>
          <a:pPr algn="l"/>
          <a:r>
            <a:rPr lang="en-GB" sz="900" baseline="0">
              <a:solidFill>
                <a:schemeClr val="bg1"/>
              </a:solidFill>
            </a:rPr>
            <a:t>- The second best hour spent reading was 11.9, with a score of 48.6 &amp; 44.1</a:t>
          </a:r>
        </a:p>
        <a:p>
          <a:pPr algn="l"/>
          <a:r>
            <a:rPr lang="en-GB" sz="900" baseline="0">
              <a:solidFill>
                <a:schemeClr val="bg1"/>
              </a:solidFill>
            </a:rPr>
            <a:t>- At 11.8 hours, there is a score of 44.1</a:t>
          </a:r>
        </a:p>
        <a:p>
          <a:pPr algn="l"/>
          <a:r>
            <a:rPr lang="en-GB" sz="900" baseline="0">
              <a:solidFill>
                <a:schemeClr val="bg1"/>
              </a:solidFill>
            </a:rPr>
            <a:t>- </a:t>
          </a:r>
          <a:r>
            <a:rPr lang="en-GB" sz="900" baseline="0">
              <a:solidFill>
                <a:schemeClr val="lt1"/>
              </a:solidFill>
              <a:effectLst/>
              <a:latin typeface="+mn-lt"/>
              <a:ea typeface="+mn-ea"/>
              <a:cs typeface="+mn-cs"/>
            </a:rPr>
            <a:t>At 11.5 hours, there is a score of 42.7 &amp; 39.2</a:t>
          </a:r>
        </a:p>
        <a:p>
          <a:pPr algn="l"/>
          <a:r>
            <a:rPr lang="en-GB" sz="900" baseline="0">
              <a:solidFill>
                <a:schemeClr val="lt1"/>
              </a:solidFill>
              <a:effectLst/>
              <a:latin typeface="+mn-lt"/>
              <a:ea typeface="+mn-ea"/>
              <a:cs typeface="+mn-cs"/>
            </a:rPr>
            <a:t>- At 11.4 hours, there is a score of 47.9 &amp; 40.8</a:t>
          </a:r>
        </a:p>
        <a:p>
          <a:pPr algn="l"/>
          <a:r>
            <a:rPr lang="en-GB" sz="900" baseline="0">
              <a:solidFill>
                <a:schemeClr val="lt1"/>
              </a:solidFill>
              <a:effectLst/>
              <a:latin typeface="+mn-lt"/>
              <a:ea typeface="+mn-ea"/>
              <a:cs typeface="+mn-cs"/>
            </a:rPr>
            <a:t>- At 11.3 hours, there is a score of 46.4 &amp; 45.3</a:t>
          </a:r>
        </a:p>
        <a:p>
          <a:pPr algn="l"/>
          <a:r>
            <a:rPr lang="en-GB" sz="900" baseline="0">
              <a:solidFill>
                <a:schemeClr val="lt1"/>
              </a:solidFill>
              <a:effectLst/>
              <a:latin typeface="+mn-lt"/>
              <a:ea typeface="+mn-ea"/>
              <a:cs typeface="+mn-cs"/>
            </a:rPr>
            <a:t>- At 11.2 hours, there is a score of 46.7 &amp; 42.7</a:t>
          </a:r>
        </a:p>
        <a:p>
          <a:pPr algn="l"/>
          <a:r>
            <a:rPr lang="en-GB" sz="900" baseline="0">
              <a:solidFill>
                <a:schemeClr val="lt1"/>
              </a:solidFill>
              <a:effectLst/>
              <a:latin typeface="+mn-lt"/>
              <a:ea typeface="+mn-ea"/>
              <a:cs typeface="+mn-cs"/>
            </a:rPr>
            <a:t>- At 11.1 hours, there is a score of 39.9</a:t>
          </a:r>
        </a:p>
        <a:p>
          <a:pPr algn="l"/>
          <a:r>
            <a:rPr lang="en-GB" sz="900" baseline="0">
              <a:solidFill>
                <a:schemeClr val="lt1"/>
              </a:solidFill>
              <a:effectLst/>
              <a:latin typeface="+mn-lt"/>
              <a:ea typeface="+mn-ea"/>
              <a:cs typeface="+mn-cs"/>
            </a:rPr>
            <a:t>- At 11 hours, there is a score of 43.1 &amp; 35.8</a:t>
          </a:r>
          <a:endParaRPr lang="en-GB" sz="900" baseline="0">
            <a:solidFill>
              <a:schemeClr val="bg1"/>
            </a:solidFill>
          </a:endParaRPr>
        </a:p>
        <a:p>
          <a:pPr algn="l"/>
          <a:endParaRPr lang="en-GB" sz="900">
            <a:solidFill>
              <a:schemeClr val="bg1"/>
            </a:solidFill>
          </a:endParaRPr>
        </a:p>
        <a:p>
          <a:pPr algn="l"/>
          <a:endParaRPr lang="en-GB" sz="1000">
            <a:solidFill>
              <a:schemeClr val="bg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209550</xdr:colOff>
      <xdr:row>0</xdr:row>
      <xdr:rowOff>76200</xdr:rowOff>
    </xdr:from>
    <xdr:to>
      <xdr:col>7</xdr:col>
      <xdr:colOff>139700</xdr:colOff>
      <xdr:row>13</xdr:row>
      <xdr:rowOff>25400</xdr:rowOff>
    </xdr:to>
    <xdr:sp macro="" textlink="">
      <xdr:nvSpPr>
        <xdr:cNvPr id="2" name="Rectangle 1">
          <a:extLst>
            <a:ext uri="{FF2B5EF4-FFF2-40B4-BE49-F238E27FC236}">
              <a16:creationId xmlns:a16="http://schemas.microsoft.com/office/drawing/2014/main" id="{C45ACC60-16E9-4315-A6B9-2CBA135D9D98}"/>
            </a:ext>
          </a:extLst>
        </xdr:cNvPr>
        <xdr:cNvSpPr/>
      </xdr:nvSpPr>
      <xdr:spPr>
        <a:xfrm>
          <a:off x="209550" y="76200"/>
          <a:ext cx="4197350" cy="23431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accent6">
                  <a:lumMod val="50000"/>
                </a:schemeClr>
              </a:solidFill>
            </a:rPr>
            <a:t>General Recommendation</a:t>
          </a:r>
        </a:p>
        <a:p>
          <a:pPr algn="l"/>
          <a:r>
            <a:rPr lang="en-GB" sz="900" b="1">
              <a:solidFill>
                <a:schemeClr val="accent6">
                  <a:lumMod val="50000"/>
                </a:schemeClr>
              </a:solidFill>
            </a:rPr>
            <a:t>1.</a:t>
          </a:r>
          <a:r>
            <a:rPr lang="en-GB" sz="900" b="1" baseline="0">
              <a:solidFill>
                <a:schemeClr val="accent6">
                  <a:lumMod val="50000"/>
                </a:schemeClr>
              </a:solidFill>
            </a:rPr>
            <a:t> </a:t>
          </a:r>
          <a:r>
            <a:rPr lang="en-GB" sz="900" b="1">
              <a:solidFill>
                <a:schemeClr val="accent6">
                  <a:lumMod val="50000"/>
                </a:schemeClr>
              </a:solidFill>
            </a:rPr>
            <a:t>Early Identification</a:t>
          </a:r>
          <a:r>
            <a:rPr lang="en-GB" sz="900">
              <a:solidFill>
                <a:schemeClr val="accent6">
                  <a:lumMod val="50000"/>
                </a:schemeClr>
              </a:solidFill>
            </a:rPr>
            <a:t>: Implement systems to flag at-risk students based on study hours, attendance, and continuous assessment.</a:t>
          </a:r>
        </a:p>
        <a:p>
          <a:pPr algn="l"/>
          <a:r>
            <a:rPr lang="en-GB" sz="900" b="1">
              <a:solidFill>
                <a:schemeClr val="accent6">
                  <a:lumMod val="50000"/>
                </a:schemeClr>
              </a:solidFill>
            </a:rPr>
            <a:t>2. Balanced Focus</a:t>
          </a:r>
          <a:r>
            <a:rPr lang="en-GB" sz="900">
              <a:solidFill>
                <a:schemeClr val="accent6">
                  <a:lumMod val="50000"/>
                </a:schemeClr>
              </a:solidFill>
            </a:rPr>
            <a:t>: Improve not just attendance, but also </a:t>
          </a:r>
          <a:r>
            <a:rPr lang="en-GB" sz="900" b="1">
              <a:solidFill>
                <a:schemeClr val="accent6">
                  <a:lumMod val="50000"/>
                </a:schemeClr>
              </a:solidFill>
            </a:rPr>
            <a:t>quality of engagement and teaching methods</a:t>
          </a:r>
          <a:r>
            <a:rPr lang="en-GB" sz="900">
              <a:solidFill>
                <a:schemeClr val="accent6">
                  <a:lumMod val="50000"/>
                </a:schemeClr>
              </a:solidFill>
            </a:rPr>
            <a:t>.</a:t>
          </a:r>
        </a:p>
        <a:p>
          <a:pPr algn="l"/>
          <a:r>
            <a:rPr lang="en-GB" sz="900" b="1">
              <a:solidFill>
                <a:schemeClr val="accent6">
                  <a:lumMod val="50000"/>
                </a:schemeClr>
              </a:solidFill>
            </a:rPr>
            <a:t>3. Student Support Structures</a:t>
          </a:r>
          <a:r>
            <a:rPr lang="en-GB" sz="900">
              <a:solidFill>
                <a:schemeClr val="accent6">
                  <a:lumMod val="50000"/>
                </a:schemeClr>
              </a:solidFill>
            </a:rPr>
            <a:t>: Expand remedial programs, mentoring, and supervised study opportunities.</a:t>
          </a:r>
        </a:p>
        <a:p>
          <a:pPr algn="l"/>
          <a:r>
            <a:rPr lang="en-GB" sz="900" b="1">
              <a:solidFill>
                <a:schemeClr val="accent6">
                  <a:lumMod val="50000"/>
                </a:schemeClr>
              </a:solidFill>
            </a:rPr>
            <a:t>4. Performance Tracking</a:t>
          </a:r>
          <a:r>
            <a:rPr lang="en-GB" sz="900">
              <a:solidFill>
                <a:schemeClr val="accent6">
                  <a:lumMod val="50000"/>
                </a:schemeClr>
              </a:solidFill>
            </a:rPr>
            <a:t>: Regularly monitor performance trends by attendance, study hours, and prior grades to guide interventions.</a:t>
          </a:r>
        </a:p>
        <a:p>
          <a:pPr algn="l"/>
          <a:r>
            <a:rPr lang="en-GB" sz="900" b="1">
              <a:solidFill>
                <a:schemeClr val="accent6">
                  <a:lumMod val="50000"/>
                </a:schemeClr>
              </a:solidFill>
            </a:rPr>
            <a:t>5. Parental Involvement</a:t>
          </a:r>
          <a:r>
            <a:rPr lang="en-GB" sz="900">
              <a:solidFill>
                <a:schemeClr val="accent6">
                  <a:lumMod val="50000"/>
                </a:schemeClr>
              </a:solidFill>
            </a:rPr>
            <a:t>: Strengthen communication with families to reinforce positive habits at home.</a:t>
          </a:r>
        </a:p>
      </xdr:txBody>
    </xdr:sp>
    <xdr:clientData/>
  </xdr:twoCellAnchor>
  <xdr:twoCellAnchor>
    <xdr:from>
      <xdr:col>8</xdr:col>
      <xdr:colOff>158750</xdr:colOff>
      <xdr:row>0</xdr:row>
      <xdr:rowOff>101600</xdr:rowOff>
    </xdr:from>
    <xdr:to>
      <xdr:col>15</xdr:col>
      <xdr:colOff>88900</xdr:colOff>
      <xdr:row>13</xdr:row>
      <xdr:rowOff>50800</xdr:rowOff>
    </xdr:to>
    <xdr:sp macro="" textlink="">
      <xdr:nvSpPr>
        <xdr:cNvPr id="5" name="Rectangle 4">
          <a:extLst>
            <a:ext uri="{FF2B5EF4-FFF2-40B4-BE49-F238E27FC236}">
              <a16:creationId xmlns:a16="http://schemas.microsoft.com/office/drawing/2014/main" id="{333DC4E3-8DBA-43CB-A5C2-9FD33D5DEC29}"/>
            </a:ext>
          </a:extLst>
        </xdr:cNvPr>
        <xdr:cNvSpPr/>
      </xdr:nvSpPr>
      <xdr:spPr>
        <a:xfrm>
          <a:off x="5035550" y="101600"/>
          <a:ext cx="4197350" cy="23431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000">
              <a:solidFill>
                <a:schemeClr val="bg1"/>
              </a:solidFill>
            </a:rPr>
            <a:t>General Insights</a:t>
          </a:r>
        </a:p>
        <a:p>
          <a:pPr algn="l"/>
          <a:r>
            <a:rPr lang="en-GB" sz="900"/>
            <a:t>1. Top students were identified across all attendance ranges (50–100%), with exam scores between 46–51.3.</a:t>
          </a:r>
        </a:p>
        <a:p>
          <a:pPr algn="l"/>
          <a:r>
            <a:rPr lang="en-GB" sz="900"/>
            <a:t>2. Students with the lowest performance exist across all attendance brackets, even among those with high attendance (80–90%).</a:t>
          </a:r>
        </a:p>
        <a:p>
          <a:pPr algn="l"/>
          <a:r>
            <a:rPr lang="en-GB" sz="900"/>
            <a:t>3. High-performing students studied for </a:t>
          </a:r>
          <a:r>
            <a:rPr lang="en-GB" sz="900" b="1"/>
            <a:t>11–12 hours on average</a:t>
          </a:r>
          <a:r>
            <a:rPr lang="en-GB" sz="900"/>
            <a:t>, while poor performers studied 1–2 hours.</a:t>
          </a:r>
        </a:p>
        <a:p>
          <a:pPr algn="l"/>
          <a:r>
            <a:rPr lang="en-GB" sz="900"/>
            <a:t>4. Higher attendance correlates with slightly better grades, but many students with high attendance still score “D” and “E”.</a:t>
          </a:r>
        </a:p>
        <a:p>
          <a:pPr algn="l"/>
          <a:r>
            <a:rPr lang="en-GB" sz="900"/>
            <a:t>5. Majority of students are concentrated in “D” and “E” grades across attendance levels. Very few achieve “A” or “B”.</a:t>
          </a:r>
        </a:p>
        <a:p>
          <a:pPr algn="l"/>
          <a:r>
            <a:rPr lang="en-GB" sz="900"/>
            <a:t>6. Strong prior performers (“A” and “B”) exist across attendance brackets, but some risk decline with lower engagement.</a:t>
          </a:r>
        </a:p>
        <a:p>
          <a:pPr algn="l"/>
          <a:r>
            <a:rPr lang="en-GB" sz="900"/>
            <a:t>7. Study hours of </a:t>
          </a:r>
          <a:r>
            <a:rPr lang="en-GB" sz="900" b="1"/>
            <a:t>11–12 hrs</a:t>
          </a:r>
          <a:r>
            <a:rPr lang="en-GB" sz="900"/>
            <a:t> are linked to stronger outcomes, but not always — effectiveness of study matters.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8</xdr:col>
      <xdr:colOff>428625</xdr:colOff>
      <xdr:row>34</xdr:row>
      <xdr:rowOff>50800</xdr:rowOff>
    </xdr:from>
    <xdr:to>
      <xdr:col>16</xdr:col>
      <xdr:colOff>123825</xdr:colOff>
      <xdr:row>183</xdr:row>
      <xdr:rowOff>34925</xdr:rowOff>
    </xdr:to>
    <xdr:graphicFrame macro="">
      <xdr:nvGraphicFramePr>
        <xdr:cNvPr id="2" name="Chart 1">
          <a:extLst>
            <a:ext uri="{FF2B5EF4-FFF2-40B4-BE49-F238E27FC236}">
              <a16:creationId xmlns:a16="http://schemas.microsoft.com/office/drawing/2014/main" id="{108FA274-429F-4D37-8F5A-A8D236B43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les" refreshedDate="45914.614400231483" createdVersion="7" refreshedVersion="7" minRefreshableVersion="3" recordCount="200" xr:uid="{00000000-000A-0000-FFFF-FFFF22000000}">
  <cacheSource type="worksheet">
    <worksheetSource name="Exam_scores"/>
  </cacheSource>
  <cacheFields count="8">
    <cacheField name="Student id" numFmtId="0">
      <sharedItems count="200">
        <s v="S001"/>
        <s v="S002"/>
        <s v="S003"/>
        <s v="S004"/>
        <s v="S005"/>
        <s v="S006"/>
        <s v="S007"/>
        <s v="S008"/>
        <s v="S009"/>
        <s v="S010"/>
        <s v="S011"/>
        <s v="S012"/>
        <s v="S013"/>
        <s v="S014"/>
        <s v="S015"/>
        <s v="S016"/>
        <s v="S017"/>
        <s v="S018"/>
        <s v="S019"/>
        <s v="S020"/>
        <s v="S021"/>
        <s v="S022"/>
        <s v="S023"/>
        <s v="S024"/>
        <s v="S025"/>
        <s v="S026"/>
        <s v="S027"/>
        <s v="S028"/>
        <s v="S029"/>
        <s v="S030"/>
        <s v="S031"/>
        <s v="S032"/>
        <s v="S033"/>
        <s v="S034"/>
        <s v="S035"/>
        <s v="S036"/>
        <s v="S037"/>
        <s v="S038"/>
        <s v="S039"/>
        <s v="S040"/>
        <s v="S041"/>
        <s v="S042"/>
        <s v="S043"/>
        <s v="S044"/>
        <s v="S045"/>
        <s v="S046"/>
        <s v="S047"/>
        <s v="S048"/>
        <s v="S049"/>
        <s v="S050"/>
        <s v="S051"/>
        <s v="S052"/>
        <s v="S053"/>
        <s v="S054"/>
        <s v="S055"/>
        <s v="S056"/>
        <s v="S057"/>
        <s v="S058"/>
        <s v="S059"/>
        <s v="S060"/>
        <s v="S061"/>
        <s v="S062"/>
        <s v="S063"/>
        <s v="S064"/>
        <s v="S065"/>
        <s v="S066"/>
        <s v="S067"/>
        <s v="S068"/>
        <s v="S069"/>
        <s v="S070"/>
        <s v="S071"/>
        <s v="S072"/>
        <s v="S073"/>
        <s v="S074"/>
        <s v="S075"/>
        <s v="S076"/>
        <s v="S077"/>
        <s v="S078"/>
        <s v="S079"/>
        <s v="S080"/>
        <s v="S081"/>
        <s v="S082"/>
        <s v="S083"/>
        <s v="S084"/>
        <s v="S085"/>
        <s v="S086"/>
        <s v="S087"/>
        <s v="S088"/>
        <s v="S089"/>
        <s v="S090"/>
        <s v="S091"/>
        <s v="S092"/>
        <s v="S093"/>
        <s v="S094"/>
        <s v="S095"/>
        <s v="S096"/>
        <s v="S097"/>
        <s v="S098"/>
        <s v="S0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haredItems>
    </cacheField>
    <cacheField name="Hours studied" numFmtId="0">
      <sharedItems containsSemiMixedTypes="0" containsString="0" containsNumber="1" minValue="1" maxValue="12" count="96">
        <n v="8"/>
        <n v="1.3"/>
        <n v="4"/>
        <n v="3.5"/>
        <n v="9.1"/>
        <n v="8.4"/>
        <n v="10.8"/>
        <n v="2"/>
        <n v="5.6"/>
        <n v="3.4"/>
        <n v="6.6"/>
        <n v="3.2"/>
        <n v="8.1"/>
        <n v="7"/>
        <n v="7.5"/>
        <n v="9.9"/>
        <n v="1.1000000000000001"/>
        <n v="8.6999999999999993"/>
        <n v="4.7"/>
        <n v="2.7"/>
        <n v="11.5"/>
        <n v="2.1"/>
        <n v="10.3"/>
        <n v="7.6"/>
        <n v="9"/>
        <n v="6.9"/>
        <n v="11.7"/>
        <n v="5.2"/>
        <n v="7.1"/>
        <n v="10.1"/>
        <n v="7.8"/>
        <n v="10.5"/>
        <n v="7.4"/>
        <n v="8.8000000000000007"/>
        <n v="1.5"/>
        <n v="4.2"/>
        <n v="1.9"/>
        <n v="3.6"/>
        <n v="4.0999999999999996"/>
        <n v="5"/>
        <n v="5.0999999999999996"/>
        <n v="3.3"/>
        <n v="3.9"/>
        <n v="11.3"/>
        <n v="7.7"/>
        <n v="2.9"/>
        <n v="2.8"/>
        <n v="11.9"/>
        <n v="8.5"/>
        <n v="9.5"/>
        <n v="1.4"/>
        <n v="4.5"/>
        <n v="11.4"/>
        <n v="10.6"/>
        <n v="8.1999999999999993"/>
        <n v="5.4"/>
        <n v="11.1"/>
        <n v="6"/>
        <n v="3.7"/>
        <n v="7.2"/>
        <n v="10.9"/>
        <n v="12"/>
        <n v="2.2000000000000002"/>
        <n v="7.9"/>
        <n v="9.6999999999999993"/>
        <n v="1.7"/>
        <n v="6.8"/>
        <n v="8.9"/>
        <n v="5.8"/>
        <n v="6.5"/>
        <n v="3"/>
        <n v="11"/>
        <n v="4.3"/>
        <n v="9.4"/>
        <n v="9.6"/>
        <n v="1"/>
        <n v="4.5999999999999996"/>
        <n v="1.2"/>
        <n v="11.2"/>
        <n v="10.7"/>
        <n v="4.4000000000000004"/>
        <n v="1.6"/>
        <n v="6.3"/>
        <n v="1.8"/>
        <n v="2.4"/>
        <n v="6.2"/>
        <n v="5.7"/>
        <n v="6.7"/>
        <n v="2.2999999999999998"/>
        <n v="2.5"/>
        <n v="7.3"/>
        <n v="3.1"/>
        <n v="6.1"/>
        <n v="11.8"/>
        <n v="5.9"/>
        <n v="10.199999999999999"/>
      </sharedItems>
    </cacheField>
    <cacheField name="Sleep hours" numFmtId="0">
      <sharedItems containsSemiMixedTypes="0" containsString="0" containsNumber="1" minValue="4" maxValue="9" count="50">
        <n v="8.8000000000000007"/>
        <n v="8.6"/>
        <n v="8.1999999999999993"/>
        <n v="4.8"/>
        <n v="6.4"/>
        <n v="5.0999999999999996"/>
        <n v="6"/>
        <n v="4.3"/>
        <n v="5.9"/>
        <n v="8.9"/>
        <n v="5.3"/>
        <n v="7.9"/>
        <n v="6.3"/>
        <n v="6.1"/>
        <n v="9"/>
        <n v="6.8"/>
        <n v="7.6"/>
        <n v="5.5"/>
        <n v="6.9"/>
        <n v="6.7"/>
        <n v="7.7"/>
        <n v="6.5"/>
        <n v="8.3000000000000007"/>
        <n v="4.4000000000000004"/>
        <n v="4.9000000000000004"/>
        <n v="7"/>
        <n v="7.4"/>
        <n v="5.2"/>
        <n v="4.5999999999999996"/>
        <n v="8.5"/>
        <n v="7.1"/>
        <n v="6.6"/>
        <n v="8.6999999999999993"/>
        <n v="5"/>
        <n v="5.6"/>
        <n v="7.8"/>
        <n v="8.4"/>
        <n v="5.8"/>
        <n v="7.5"/>
        <n v="7.3"/>
        <n v="4"/>
        <n v="8.1"/>
        <n v="4.7"/>
        <n v="4.5"/>
        <n v="5.4"/>
        <n v="7.2"/>
        <n v="8"/>
        <n v="4.0999999999999996"/>
        <n v="5.7"/>
        <n v="6.2"/>
      </sharedItems>
    </cacheField>
    <cacheField name="Attendance percent" numFmtId="0">
      <sharedItems containsSemiMixedTypes="0" containsString="0" containsNumber="1" minValue="50.3" maxValue="100" count="167">
        <n v="72.099999999999994"/>
        <n v="60.7"/>
        <n v="73.7"/>
        <n v="95.1"/>
        <n v="89.8"/>
        <n v="58.5"/>
        <n v="54.2"/>
        <n v="75.8"/>
        <n v="81.599999999999994"/>
        <n v="66.8"/>
        <n v="90.9"/>
        <n v="87.6"/>
        <n v="83.6"/>
        <n v="61.2"/>
        <n v="60"/>
        <n v="51.2"/>
        <n v="62.2"/>
        <n v="73.8"/>
        <n v="92.5"/>
        <n v="53.6"/>
        <n v="70.7"/>
        <n v="81.5"/>
        <n v="59.7"/>
        <n v="84.8"/>
        <n v="74.7"/>
        <n v="82.8"/>
        <n v="50.3"/>
        <n v="87.5"/>
        <n v="88.5"/>
        <n v="55.3"/>
        <n v="71.3"/>
        <n v="58.8"/>
        <n v="97.9"/>
        <n v="75.900000000000006"/>
        <n v="52.5"/>
        <n v="62.5"/>
        <n v="92.4"/>
        <n v="72.8"/>
        <n v="90.1"/>
        <n v="83.4"/>
        <n v="99.4"/>
        <n v="79.8"/>
        <n v="97.5"/>
        <n v="94.6"/>
        <n v="80.599999999999994"/>
        <n v="86"/>
        <n v="75.2"/>
        <n v="91.5"/>
        <n v="77.400000000000006"/>
        <n v="94.9"/>
        <n v="87.2"/>
        <n v="63"/>
        <n v="62.4"/>
        <n v="81.900000000000006"/>
        <n v="88.3"/>
        <n v="76.099999999999994"/>
        <n v="81.3"/>
        <n v="63.7"/>
        <n v="53.9"/>
        <n v="64.3"/>
        <n v="63.6"/>
        <n v="66"/>
        <n v="77"/>
        <n v="56.9"/>
        <n v="61.6"/>
        <n v="84.7"/>
        <n v="85.3"/>
        <n v="53.2"/>
        <n v="70.400000000000006"/>
        <n v="77.099999999999994"/>
        <n v="70.8"/>
        <n v="60.3"/>
        <n v="71"/>
        <n v="95.2"/>
        <n v="79.2"/>
        <n v="92.8"/>
        <n v="69"/>
        <n v="67.599999999999994"/>
        <n v="87.7"/>
        <n v="92.7"/>
        <n v="97.7"/>
        <n v="87.4"/>
        <n v="77.3"/>
        <n v="80.2"/>
        <n v="61"/>
        <n v="71.8"/>
        <n v="51.5"/>
        <n v="84"/>
        <n v="70.2"/>
        <n v="58.3"/>
        <n v="73.400000000000006"/>
        <n v="56.4"/>
        <n v="81.099999999999994"/>
        <n v="51.3"/>
        <n v="69.7"/>
        <n v="78.2"/>
        <n v="51.4"/>
        <n v="82.1"/>
        <n v="56.8"/>
        <n v="73.099999999999994"/>
        <n v="60.6"/>
        <n v="66.3"/>
        <n v="88.1"/>
        <n v="91.6"/>
        <n v="62.6"/>
        <n v="54.1"/>
        <n v="51"/>
        <n v="100"/>
        <n v="67.5"/>
        <n v="82.5"/>
        <n v="89.1"/>
        <n v="82.6"/>
        <n v="57.6"/>
        <n v="56.3"/>
        <n v="83.5"/>
        <n v="60.9"/>
        <n v="85"/>
        <n v="58.4"/>
        <n v="80.400000000000006"/>
        <n v="55.7"/>
        <n v="91"/>
        <n v="98.2"/>
        <n v="55.4"/>
        <n v="65.599999999999994"/>
        <n v="83.9"/>
        <n v="69.8"/>
        <n v="85.8"/>
        <n v="53.8"/>
        <n v="84.5"/>
        <n v="81.400000000000006"/>
        <n v="55.1"/>
        <n v="88.6"/>
        <n v="80"/>
        <n v="56.1"/>
        <n v="99.2"/>
        <n v="67.400000000000006"/>
        <n v="71.400000000000006"/>
        <n v="68.5"/>
        <n v="75.3"/>
        <n v="67.099999999999994"/>
        <n v="91.1"/>
        <n v="98"/>
        <n v="81.8"/>
        <n v="91.4"/>
        <n v="85.4"/>
        <n v="86.7"/>
        <n v="98.3"/>
        <n v="63.5"/>
        <n v="90.4"/>
        <n v="76.900000000000006"/>
        <n v="74.2"/>
        <n v="86.6"/>
        <n v="63.4"/>
        <n v="92.6"/>
        <n v="54.3"/>
        <n v="94.1"/>
        <n v="73.2"/>
        <n v="80.5"/>
        <n v="68.900000000000006"/>
        <n v="59.1"/>
        <n v="89.9"/>
        <n v="67"/>
        <n v="94"/>
        <n v="85.1"/>
        <n v="63.8"/>
        <n v="50.5"/>
        <n v="97.4"/>
      </sharedItems>
      <fieldGroup base="3">
        <rangePr autoStart="0" startNum="0" endNum="100" groupInterval="10"/>
        <groupItems count="12">
          <s v="&lt;0"/>
          <s v="0-10"/>
          <s v="10-20"/>
          <s v="20-30"/>
          <s v="30-40"/>
          <s v="40-50"/>
          <s v="50-60"/>
          <s v="60-70"/>
          <s v="70-80"/>
          <s v="80-90"/>
          <s v="90-100"/>
          <s v="&gt;100"/>
        </groupItems>
      </fieldGroup>
    </cacheField>
    <cacheField name="Previous scores grade" numFmtId="0">
      <sharedItems count="6">
        <s v="E"/>
        <s v="C"/>
        <s v="A"/>
        <s v="B"/>
        <s v="D"/>
        <s v="F"/>
      </sharedItems>
    </cacheField>
    <cacheField name="Previous scores" numFmtId="0">
      <sharedItems containsSemiMixedTypes="0" containsString="0" containsNumber="1" containsInteger="1" minValue="40" maxValue="95"/>
    </cacheField>
    <cacheField name="Exam grade" numFmtId="0">
      <sharedItems count="6">
        <s v="D"/>
        <s v="E"/>
        <s v="C"/>
        <s v="F"/>
        <s v="B"/>
        <s v="A"/>
      </sharedItems>
    </cacheField>
    <cacheField name="Exam score" numFmtId="0">
      <sharedItems containsSemiMixedTypes="0" containsString="0" containsNumber="1" minValue="17.100000000000001" maxValue="51.3" count="139">
        <n v="30.2"/>
        <n v="25"/>
        <n v="35.799999999999997"/>
        <n v="34"/>
        <n v="40.299999999999997"/>
        <n v="35.700000000000003"/>
        <n v="37.9"/>
        <n v="18.3"/>
        <n v="34.700000000000003"/>
        <n v="24.7"/>
        <n v="29.3"/>
        <n v="35.1"/>
        <n v="31.2"/>
        <n v="41.1"/>
        <n v="34.1"/>
        <n v="28.9"/>
        <n v="36.299999999999997"/>
        <n v="35.6"/>
        <n v="17.100000000000001"/>
        <n v="46"/>
        <n v="36.1"/>
        <n v="29.6"/>
        <n v="35.9"/>
        <n v="39.200000000000003"/>
        <n v="30"/>
        <n v="29"/>
        <n v="26.5"/>
        <n v="37.200000000000003"/>
        <n v="36.200000000000003"/>
        <n v="34.5"/>
        <n v="41.6"/>
        <n v="38.1"/>
        <n v="42.7"/>
        <n v="32"/>
        <n v="44.7"/>
        <n v="38.299999999999997"/>
        <n v="39.799999999999997"/>
        <n v="35"/>
        <n v="34.200000000000003"/>
        <n v="23.1"/>
        <n v="30.3"/>
        <n v="26.1"/>
        <n v="31.8"/>
        <n v="31.6"/>
        <n v="31.1"/>
        <n v="41.2"/>
        <n v="30.6"/>
        <n v="28.8"/>
        <n v="30.7"/>
        <n v="26.9"/>
        <n v="46.4"/>
        <n v="34.4"/>
        <n v="37"/>
        <n v="35.200000000000003"/>
        <n v="38.200000000000003"/>
        <n v="33"/>
        <n v="29.2"/>
        <n v="48.6"/>
        <n v="27.1"/>
        <n v="39.5"/>
        <n v="36.700000000000003"/>
        <n v="21.7"/>
        <n v="32.200000000000003"/>
        <n v="33.5"/>
        <n v="23.9"/>
        <n v="20.8"/>
        <n v="47.9"/>
        <n v="41.9"/>
        <n v="29.5"/>
        <n v="26.3"/>
        <n v="39.9"/>
        <n v="30.8"/>
        <n v="32.4"/>
        <n v="48.9"/>
        <n v="38"/>
        <n v="51.3"/>
        <n v="28.6"/>
        <n v="32.1"/>
        <n v="27.3"/>
        <n v="37.5"/>
        <n v="29.1"/>
        <n v="28.1"/>
        <n v="28.7"/>
        <n v="36.9"/>
        <n v="36"/>
        <n v="37.1"/>
        <n v="31.4"/>
        <n v="31.3"/>
        <n v="32.6"/>
        <n v="24.1"/>
        <n v="23.7"/>
        <n v="23.2"/>
        <n v="42.2"/>
        <n v="39.6"/>
        <n v="34.799999999999997"/>
        <n v="34.6"/>
        <n v="26.4"/>
        <n v="43.1"/>
        <n v="25.2"/>
        <n v="29.8"/>
        <n v="40.9"/>
        <n v="44.1"/>
        <n v="39.299999999999997"/>
        <n v="21.2"/>
        <n v="38.6"/>
        <n v="26.8"/>
        <n v="32.9"/>
        <n v="45.7"/>
        <n v="40.799999999999997"/>
        <n v="29.9"/>
        <n v="43.3"/>
        <n v="19"/>
        <n v="45.8"/>
        <n v="35.5"/>
        <n v="21.9"/>
        <n v="42.3"/>
        <n v="27.7"/>
        <n v="33.4"/>
        <n v="29.7"/>
        <n v="23.6"/>
        <n v="33.6"/>
        <n v="40.6"/>
        <n v="30.1"/>
        <n v="42"/>
        <n v="22.8"/>
        <n v="45.3"/>
        <n v="31"/>
        <n v="44.8"/>
        <n v="38.4"/>
        <n v="19.399999999999999"/>
        <n v="39.4"/>
        <n v="22.9"/>
        <n v="23.4"/>
        <n v="28"/>
        <n v="46.7"/>
        <n v="33.799999999999997"/>
        <n v="40.4"/>
        <n v="28.2"/>
        <n v="37.799999999999997"/>
      </sharedItems>
    </cacheField>
  </cacheFields>
  <extLst>
    <ext xmlns:x14="http://schemas.microsoft.com/office/spreadsheetml/2009/9/main" uri="{725AE2AE-9491-48be-B2B4-4EB974FC3084}">
      <x14:pivotCacheDefinition pivotCacheId="1888280104"/>
    </ext>
  </extLst>
</pivotCacheDefinition>
</file>

<file path=xl/pivotCache/pivotCacheRecords1.xml><?xml version="1.0" encoding="utf-8"?>
<pivotCacheRecords xmlns="http://schemas.openxmlformats.org/spreadsheetml/2006/main" xmlns:r="http://schemas.openxmlformats.org/officeDocument/2006/relationships" count="200">
  <r>
    <x v="0"/>
    <x v="0"/>
    <x v="0"/>
    <x v="0"/>
    <x v="0"/>
    <n v="45"/>
    <x v="0"/>
    <x v="0"/>
  </r>
  <r>
    <x v="1"/>
    <x v="1"/>
    <x v="1"/>
    <x v="1"/>
    <x v="1"/>
    <n v="55"/>
    <x v="1"/>
    <x v="1"/>
  </r>
  <r>
    <x v="2"/>
    <x v="2"/>
    <x v="2"/>
    <x v="2"/>
    <x v="2"/>
    <n v="86"/>
    <x v="0"/>
    <x v="2"/>
  </r>
  <r>
    <x v="3"/>
    <x v="3"/>
    <x v="3"/>
    <x v="3"/>
    <x v="3"/>
    <n v="66"/>
    <x v="0"/>
    <x v="3"/>
  </r>
  <r>
    <x v="4"/>
    <x v="4"/>
    <x v="4"/>
    <x v="4"/>
    <x v="3"/>
    <n v="71"/>
    <x v="2"/>
    <x v="4"/>
  </r>
  <r>
    <x v="5"/>
    <x v="5"/>
    <x v="5"/>
    <x v="5"/>
    <x v="3"/>
    <n v="75"/>
    <x v="0"/>
    <x v="5"/>
  </r>
  <r>
    <x v="6"/>
    <x v="6"/>
    <x v="6"/>
    <x v="6"/>
    <x v="2"/>
    <n v="88"/>
    <x v="0"/>
    <x v="6"/>
  </r>
  <r>
    <x v="7"/>
    <x v="7"/>
    <x v="7"/>
    <x v="7"/>
    <x v="1"/>
    <n v="55"/>
    <x v="3"/>
    <x v="7"/>
  </r>
  <r>
    <x v="8"/>
    <x v="8"/>
    <x v="8"/>
    <x v="8"/>
    <x v="2"/>
    <n v="84"/>
    <x v="0"/>
    <x v="8"/>
  </r>
  <r>
    <x v="9"/>
    <x v="1"/>
    <x v="9"/>
    <x v="9"/>
    <x v="3"/>
    <n v="70"/>
    <x v="1"/>
    <x v="9"/>
  </r>
  <r>
    <x v="10"/>
    <x v="9"/>
    <x v="10"/>
    <x v="10"/>
    <x v="2"/>
    <n v="81"/>
    <x v="1"/>
    <x v="10"/>
  </r>
  <r>
    <x v="11"/>
    <x v="10"/>
    <x v="11"/>
    <x v="11"/>
    <x v="2"/>
    <n v="85"/>
    <x v="0"/>
    <x v="11"/>
  </r>
  <r>
    <x v="12"/>
    <x v="1"/>
    <x v="12"/>
    <x v="12"/>
    <x v="3"/>
    <n v="71"/>
    <x v="0"/>
    <x v="12"/>
  </r>
  <r>
    <x v="13"/>
    <x v="11"/>
    <x v="13"/>
    <x v="13"/>
    <x v="3"/>
    <n v="68"/>
    <x v="0"/>
    <x v="0"/>
  </r>
  <r>
    <x v="14"/>
    <x v="12"/>
    <x v="0"/>
    <x v="14"/>
    <x v="2"/>
    <n v="90"/>
    <x v="2"/>
    <x v="13"/>
  </r>
  <r>
    <x v="15"/>
    <x v="13"/>
    <x v="14"/>
    <x v="15"/>
    <x v="0"/>
    <n v="41"/>
    <x v="0"/>
    <x v="14"/>
  </r>
  <r>
    <x v="16"/>
    <x v="9"/>
    <x v="15"/>
    <x v="16"/>
    <x v="0"/>
    <n v="45"/>
    <x v="1"/>
    <x v="15"/>
  </r>
  <r>
    <x v="17"/>
    <x v="14"/>
    <x v="16"/>
    <x v="17"/>
    <x v="1"/>
    <n v="58"/>
    <x v="0"/>
    <x v="16"/>
  </r>
  <r>
    <x v="18"/>
    <x v="15"/>
    <x v="3"/>
    <x v="18"/>
    <x v="1"/>
    <n v="54"/>
    <x v="0"/>
    <x v="17"/>
  </r>
  <r>
    <x v="19"/>
    <x v="16"/>
    <x v="17"/>
    <x v="19"/>
    <x v="3"/>
    <n v="65"/>
    <x v="3"/>
    <x v="18"/>
  </r>
  <r>
    <x v="20"/>
    <x v="15"/>
    <x v="0"/>
    <x v="20"/>
    <x v="2"/>
    <n v="84"/>
    <x v="4"/>
    <x v="19"/>
  </r>
  <r>
    <x v="21"/>
    <x v="17"/>
    <x v="18"/>
    <x v="21"/>
    <x v="1"/>
    <n v="55"/>
    <x v="0"/>
    <x v="20"/>
  </r>
  <r>
    <x v="22"/>
    <x v="18"/>
    <x v="19"/>
    <x v="22"/>
    <x v="1"/>
    <n v="59"/>
    <x v="1"/>
    <x v="21"/>
  </r>
  <r>
    <x v="23"/>
    <x v="19"/>
    <x v="20"/>
    <x v="23"/>
    <x v="2"/>
    <n v="82"/>
    <x v="0"/>
    <x v="22"/>
  </r>
  <r>
    <x v="24"/>
    <x v="20"/>
    <x v="7"/>
    <x v="24"/>
    <x v="3"/>
    <n v="77"/>
    <x v="0"/>
    <x v="23"/>
  </r>
  <r>
    <x v="25"/>
    <x v="18"/>
    <x v="18"/>
    <x v="16"/>
    <x v="3"/>
    <n v="63"/>
    <x v="1"/>
    <x v="24"/>
  </r>
  <r>
    <x v="26"/>
    <x v="7"/>
    <x v="21"/>
    <x v="25"/>
    <x v="3"/>
    <n v="70"/>
    <x v="1"/>
    <x v="25"/>
  </r>
  <r>
    <x v="27"/>
    <x v="21"/>
    <x v="22"/>
    <x v="26"/>
    <x v="3"/>
    <n v="75"/>
    <x v="1"/>
    <x v="26"/>
  </r>
  <r>
    <x v="28"/>
    <x v="22"/>
    <x v="3"/>
    <x v="27"/>
    <x v="3"/>
    <n v="73"/>
    <x v="0"/>
    <x v="27"/>
  </r>
  <r>
    <x v="29"/>
    <x v="23"/>
    <x v="0"/>
    <x v="28"/>
    <x v="3"/>
    <n v="62"/>
    <x v="0"/>
    <x v="28"/>
  </r>
  <r>
    <x v="30"/>
    <x v="15"/>
    <x v="23"/>
    <x v="29"/>
    <x v="3"/>
    <n v="67"/>
    <x v="0"/>
    <x v="29"/>
  </r>
  <r>
    <x v="31"/>
    <x v="24"/>
    <x v="24"/>
    <x v="30"/>
    <x v="2"/>
    <n v="87"/>
    <x v="2"/>
    <x v="30"/>
  </r>
  <r>
    <x v="32"/>
    <x v="25"/>
    <x v="25"/>
    <x v="31"/>
    <x v="3"/>
    <n v="75"/>
    <x v="0"/>
    <x v="31"/>
  </r>
  <r>
    <x v="33"/>
    <x v="26"/>
    <x v="26"/>
    <x v="32"/>
    <x v="3"/>
    <n v="61"/>
    <x v="2"/>
    <x v="32"/>
  </r>
  <r>
    <x v="34"/>
    <x v="27"/>
    <x v="27"/>
    <x v="33"/>
    <x v="3"/>
    <n v="62"/>
    <x v="0"/>
    <x v="33"/>
  </r>
  <r>
    <x v="35"/>
    <x v="28"/>
    <x v="28"/>
    <x v="34"/>
    <x v="2"/>
    <n v="84"/>
    <x v="0"/>
    <x v="33"/>
  </r>
  <r>
    <x v="36"/>
    <x v="29"/>
    <x v="29"/>
    <x v="35"/>
    <x v="3"/>
    <n v="69"/>
    <x v="2"/>
    <x v="34"/>
  </r>
  <r>
    <x v="37"/>
    <x v="30"/>
    <x v="27"/>
    <x v="36"/>
    <x v="1"/>
    <n v="57"/>
    <x v="0"/>
    <x v="35"/>
  </r>
  <r>
    <x v="38"/>
    <x v="31"/>
    <x v="25"/>
    <x v="37"/>
    <x v="1"/>
    <n v="59"/>
    <x v="0"/>
    <x v="36"/>
  </r>
  <r>
    <x v="39"/>
    <x v="32"/>
    <x v="30"/>
    <x v="38"/>
    <x v="1"/>
    <n v="56"/>
    <x v="0"/>
    <x v="37"/>
  </r>
  <r>
    <x v="40"/>
    <x v="33"/>
    <x v="13"/>
    <x v="39"/>
    <x v="1"/>
    <n v="54"/>
    <x v="0"/>
    <x v="38"/>
  </r>
  <r>
    <x v="41"/>
    <x v="34"/>
    <x v="18"/>
    <x v="40"/>
    <x v="4"/>
    <n v="47"/>
    <x v="1"/>
    <x v="39"/>
  </r>
  <r>
    <x v="42"/>
    <x v="3"/>
    <x v="31"/>
    <x v="41"/>
    <x v="2"/>
    <n v="86"/>
    <x v="0"/>
    <x v="27"/>
  </r>
  <r>
    <x v="43"/>
    <x v="35"/>
    <x v="32"/>
    <x v="42"/>
    <x v="1"/>
    <n v="52"/>
    <x v="0"/>
    <x v="40"/>
  </r>
  <r>
    <x v="44"/>
    <x v="36"/>
    <x v="33"/>
    <x v="43"/>
    <x v="3"/>
    <n v="60"/>
    <x v="1"/>
    <x v="41"/>
  </r>
  <r>
    <x v="45"/>
    <x v="37"/>
    <x v="16"/>
    <x v="44"/>
    <x v="4"/>
    <n v="47"/>
    <x v="0"/>
    <x v="42"/>
  </r>
  <r>
    <x v="46"/>
    <x v="21"/>
    <x v="27"/>
    <x v="45"/>
    <x v="2"/>
    <n v="87"/>
    <x v="0"/>
    <x v="43"/>
  </r>
  <r>
    <x v="47"/>
    <x v="38"/>
    <x v="6"/>
    <x v="46"/>
    <x v="3"/>
    <n v="74"/>
    <x v="0"/>
    <x v="44"/>
  </r>
  <r>
    <x v="48"/>
    <x v="0"/>
    <x v="26"/>
    <x v="47"/>
    <x v="2"/>
    <n v="88"/>
    <x v="2"/>
    <x v="45"/>
  </r>
  <r>
    <x v="49"/>
    <x v="39"/>
    <x v="17"/>
    <x v="48"/>
    <x v="2"/>
    <n v="84"/>
    <x v="0"/>
    <x v="46"/>
  </r>
  <r>
    <x v="50"/>
    <x v="40"/>
    <x v="34"/>
    <x v="49"/>
    <x v="1"/>
    <n v="51"/>
    <x v="1"/>
    <x v="47"/>
  </r>
  <r>
    <x v="51"/>
    <x v="41"/>
    <x v="35"/>
    <x v="50"/>
    <x v="1"/>
    <n v="52"/>
    <x v="0"/>
    <x v="48"/>
  </r>
  <r>
    <x v="52"/>
    <x v="42"/>
    <x v="23"/>
    <x v="2"/>
    <x v="1"/>
    <n v="53"/>
    <x v="1"/>
    <x v="49"/>
  </r>
  <r>
    <x v="53"/>
    <x v="43"/>
    <x v="12"/>
    <x v="51"/>
    <x v="2"/>
    <n v="87"/>
    <x v="4"/>
    <x v="50"/>
  </r>
  <r>
    <x v="54"/>
    <x v="12"/>
    <x v="14"/>
    <x v="52"/>
    <x v="3"/>
    <n v="70"/>
    <x v="0"/>
    <x v="51"/>
  </r>
  <r>
    <x v="55"/>
    <x v="44"/>
    <x v="14"/>
    <x v="53"/>
    <x v="1"/>
    <n v="57"/>
    <x v="0"/>
    <x v="52"/>
  </r>
  <r>
    <x v="56"/>
    <x v="45"/>
    <x v="23"/>
    <x v="54"/>
    <x v="2"/>
    <n v="86"/>
    <x v="0"/>
    <x v="53"/>
  </r>
  <r>
    <x v="57"/>
    <x v="24"/>
    <x v="5"/>
    <x v="55"/>
    <x v="3"/>
    <n v="77"/>
    <x v="0"/>
    <x v="54"/>
  </r>
  <r>
    <x v="58"/>
    <x v="46"/>
    <x v="10"/>
    <x v="56"/>
    <x v="2"/>
    <n v="88"/>
    <x v="0"/>
    <x v="55"/>
  </r>
  <r>
    <x v="59"/>
    <x v="27"/>
    <x v="32"/>
    <x v="57"/>
    <x v="3"/>
    <n v="73"/>
    <x v="1"/>
    <x v="56"/>
  </r>
  <r>
    <x v="60"/>
    <x v="47"/>
    <x v="36"/>
    <x v="58"/>
    <x v="3"/>
    <n v="78"/>
    <x v="4"/>
    <x v="57"/>
  </r>
  <r>
    <x v="61"/>
    <x v="0"/>
    <x v="36"/>
    <x v="59"/>
    <x v="1"/>
    <n v="58"/>
    <x v="0"/>
    <x v="20"/>
  </r>
  <r>
    <x v="62"/>
    <x v="28"/>
    <x v="37"/>
    <x v="60"/>
    <x v="4"/>
    <n v="46"/>
    <x v="1"/>
    <x v="58"/>
  </r>
  <r>
    <x v="63"/>
    <x v="48"/>
    <x v="3"/>
    <x v="61"/>
    <x v="2"/>
    <n v="93"/>
    <x v="0"/>
    <x v="20"/>
  </r>
  <r>
    <x v="64"/>
    <x v="22"/>
    <x v="2"/>
    <x v="62"/>
    <x v="1"/>
    <n v="52"/>
    <x v="0"/>
    <x v="59"/>
  </r>
  <r>
    <x v="65"/>
    <x v="49"/>
    <x v="38"/>
    <x v="63"/>
    <x v="1"/>
    <n v="58"/>
    <x v="0"/>
    <x v="60"/>
  </r>
  <r>
    <x v="66"/>
    <x v="3"/>
    <x v="30"/>
    <x v="64"/>
    <x v="1"/>
    <n v="54"/>
    <x v="1"/>
    <x v="61"/>
  </r>
  <r>
    <x v="67"/>
    <x v="50"/>
    <x v="9"/>
    <x v="65"/>
    <x v="3"/>
    <n v="63"/>
    <x v="0"/>
    <x v="62"/>
  </r>
  <r>
    <x v="68"/>
    <x v="51"/>
    <x v="39"/>
    <x v="66"/>
    <x v="1"/>
    <n v="51"/>
    <x v="0"/>
    <x v="63"/>
  </r>
  <r>
    <x v="69"/>
    <x v="42"/>
    <x v="40"/>
    <x v="67"/>
    <x v="1"/>
    <n v="59"/>
    <x v="1"/>
    <x v="64"/>
  </r>
  <r>
    <x v="70"/>
    <x v="41"/>
    <x v="41"/>
    <x v="68"/>
    <x v="5"/>
    <n v="40"/>
    <x v="1"/>
    <x v="65"/>
  </r>
  <r>
    <x v="71"/>
    <x v="52"/>
    <x v="17"/>
    <x v="69"/>
    <x v="2"/>
    <n v="85"/>
    <x v="4"/>
    <x v="66"/>
  </r>
  <r>
    <x v="72"/>
    <x v="53"/>
    <x v="39"/>
    <x v="70"/>
    <x v="3"/>
    <n v="74"/>
    <x v="2"/>
    <x v="67"/>
  </r>
  <r>
    <x v="73"/>
    <x v="51"/>
    <x v="32"/>
    <x v="71"/>
    <x v="4"/>
    <n v="48"/>
    <x v="1"/>
    <x v="68"/>
  </r>
  <r>
    <x v="74"/>
    <x v="54"/>
    <x v="42"/>
    <x v="72"/>
    <x v="1"/>
    <n v="57"/>
    <x v="0"/>
    <x v="63"/>
  </r>
  <r>
    <x v="75"/>
    <x v="55"/>
    <x v="28"/>
    <x v="73"/>
    <x v="0"/>
    <n v="42"/>
    <x v="1"/>
    <x v="69"/>
  </r>
  <r>
    <x v="76"/>
    <x v="56"/>
    <x v="43"/>
    <x v="74"/>
    <x v="0"/>
    <n v="43"/>
    <x v="0"/>
    <x v="70"/>
  </r>
  <r>
    <x v="77"/>
    <x v="57"/>
    <x v="15"/>
    <x v="23"/>
    <x v="3"/>
    <n v="75"/>
    <x v="2"/>
    <x v="4"/>
  </r>
  <r>
    <x v="78"/>
    <x v="42"/>
    <x v="44"/>
    <x v="75"/>
    <x v="1"/>
    <n v="58"/>
    <x v="1"/>
    <x v="26"/>
  </r>
  <r>
    <x v="79"/>
    <x v="58"/>
    <x v="25"/>
    <x v="54"/>
    <x v="2"/>
    <n v="84"/>
    <x v="0"/>
    <x v="38"/>
  </r>
  <r>
    <x v="80"/>
    <x v="59"/>
    <x v="16"/>
    <x v="76"/>
    <x v="4"/>
    <n v="48"/>
    <x v="0"/>
    <x v="71"/>
  </r>
  <r>
    <x v="81"/>
    <x v="42"/>
    <x v="33"/>
    <x v="26"/>
    <x v="3"/>
    <n v="80"/>
    <x v="0"/>
    <x v="72"/>
  </r>
  <r>
    <x v="82"/>
    <x v="32"/>
    <x v="45"/>
    <x v="77"/>
    <x v="2"/>
    <n v="95"/>
    <x v="0"/>
    <x v="36"/>
  </r>
  <r>
    <x v="83"/>
    <x v="60"/>
    <x v="10"/>
    <x v="78"/>
    <x v="2"/>
    <n v="88"/>
    <x v="4"/>
    <x v="73"/>
  </r>
  <r>
    <x v="84"/>
    <x v="55"/>
    <x v="4"/>
    <x v="79"/>
    <x v="3"/>
    <n v="71"/>
    <x v="0"/>
    <x v="74"/>
  </r>
  <r>
    <x v="85"/>
    <x v="9"/>
    <x v="29"/>
    <x v="80"/>
    <x v="4"/>
    <n v="46"/>
    <x v="1"/>
    <x v="26"/>
  </r>
  <r>
    <x v="86"/>
    <x v="61"/>
    <x v="2"/>
    <x v="72"/>
    <x v="2"/>
    <n v="95"/>
    <x v="5"/>
    <x v="75"/>
  </r>
  <r>
    <x v="87"/>
    <x v="10"/>
    <x v="43"/>
    <x v="81"/>
    <x v="5"/>
    <n v="40"/>
    <x v="1"/>
    <x v="76"/>
  </r>
  <r>
    <x v="88"/>
    <x v="7"/>
    <x v="13"/>
    <x v="82"/>
    <x v="3"/>
    <n v="76"/>
    <x v="0"/>
    <x v="77"/>
  </r>
  <r>
    <x v="89"/>
    <x v="34"/>
    <x v="44"/>
    <x v="83"/>
    <x v="1"/>
    <n v="58"/>
    <x v="1"/>
    <x v="64"/>
  </r>
  <r>
    <x v="90"/>
    <x v="62"/>
    <x v="40"/>
    <x v="84"/>
    <x v="3"/>
    <n v="70"/>
    <x v="1"/>
    <x v="78"/>
  </r>
  <r>
    <x v="91"/>
    <x v="63"/>
    <x v="11"/>
    <x v="84"/>
    <x v="3"/>
    <n v="70"/>
    <x v="0"/>
    <x v="3"/>
  </r>
  <r>
    <x v="92"/>
    <x v="64"/>
    <x v="45"/>
    <x v="85"/>
    <x v="3"/>
    <n v="68"/>
    <x v="0"/>
    <x v="79"/>
  </r>
  <r>
    <x v="93"/>
    <x v="8"/>
    <x v="10"/>
    <x v="86"/>
    <x v="3"/>
    <n v="61"/>
    <x v="1"/>
    <x v="80"/>
  </r>
  <r>
    <x v="94"/>
    <x v="65"/>
    <x v="20"/>
    <x v="9"/>
    <x v="1"/>
    <n v="51"/>
    <x v="1"/>
    <x v="81"/>
  </r>
  <r>
    <x v="95"/>
    <x v="27"/>
    <x v="15"/>
    <x v="87"/>
    <x v="0"/>
    <n v="43"/>
    <x v="1"/>
    <x v="82"/>
  </r>
  <r>
    <x v="96"/>
    <x v="61"/>
    <x v="13"/>
    <x v="88"/>
    <x v="1"/>
    <n v="56"/>
    <x v="0"/>
    <x v="83"/>
  </r>
  <r>
    <x v="97"/>
    <x v="66"/>
    <x v="40"/>
    <x v="89"/>
    <x v="2"/>
    <n v="95"/>
    <x v="0"/>
    <x v="84"/>
  </r>
  <r>
    <x v="98"/>
    <x v="26"/>
    <x v="23"/>
    <x v="90"/>
    <x v="3"/>
    <n v="70"/>
    <x v="0"/>
    <x v="70"/>
  </r>
  <r>
    <x v="99"/>
    <x v="31"/>
    <x v="36"/>
    <x v="91"/>
    <x v="4"/>
    <n v="47"/>
    <x v="0"/>
    <x v="85"/>
  </r>
  <r>
    <x v="100"/>
    <x v="16"/>
    <x v="29"/>
    <x v="92"/>
    <x v="2"/>
    <n v="92"/>
    <x v="0"/>
    <x v="86"/>
  </r>
  <r>
    <x v="101"/>
    <x v="67"/>
    <x v="19"/>
    <x v="93"/>
    <x v="0"/>
    <n v="44"/>
    <x v="0"/>
    <x v="87"/>
  </r>
  <r>
    <x v="102"/>
    <x v="48"/>
    <x v="2"/>
    <x v="94"/>
    <x v="3"/>
    <n v="65"/>
    <x v="0"/>
    <x v="5"/>
  </r>
  <r>
    <x v="103"/>
    <x v="25"/>
    <x v="18"/>
    <x v="95"/>
    <x v="3"/>
    <n v="71"/>
    <x v="0"/>
    <x v="88"/>
  </r>
  <r>
    <x v="104"/>
    <x v="42"/>
    <x v="42"/>
    <x v="96"/>
    <x v="0"/>
    <n v="44"/>
    <x v="1"/>
    <x v="89"/>
  </r>
  <r>
    <x v="105"/>
    <x v="12"/>
    <x v="28"/>
    <x v="97"/>
    <x v="3"/>
    <n v="76"/>
    <x v="0"/>
    <x v="54"/>
  </r>
  <r>
    <x v="106"/>
    <x v="62"/>
    <x v="17"/>
    <x v="98"/>
    <x v="3"/>
    <n v="80"/>
    <x v="1"/>
    <x v="90"/>
  </r>
  <r>
    <x v="107"/>
    <x v="68"/>
    <x v="29"/>
    <x v="99"/>
    <x v="2"/>
    <n v="83"/>
    <x v="0"/>
    <x v="23"/>
  </r>
  <r>
    <x v="108"/>
    <x v="57"/>
    <x v="46"/>
    <x v="34"/>
    <x v="0"/>
    <n v="43"/>
    <x v="1"/>
    <x v="91"/>
  </r>
  <r>
    <x v="109"/>
    <x v="20"/>
    <x v="22"/>
    <x v="76"/>
    <x v="4"/>
    <n v="49"/>
    <x v="2"/>
    <x v="92"/>
  </r>
  <r>
    <x v="110"/>
    <x v="53"/>
    <x v="29"/>
    <x v="100"/>
    <x v="4"/>
    <n v="49"/>
    <x v="0"/>
    <x v="93"/>
  </r>
  <r>
    <x v="111"/>
    <x v="42"/>
    <x v="5"/>
    <x v="101"/>
    <x v="2"/>
    <n v="91"/>
    <x v="0"/>
    <x v="94"/>
  </r>
  <r>
    <x v="112"/>
    <x v="69"/>
    <x v="27"/>
    <x v="102"/>
    <x v="3"/>
    <n v="76"/>
    <x v="0"/>
    <x v="95"/>
  </r>
  <r>
    <x v="113"/>
    <x v="70"/>
    <x v="43"/>
    <x v="76"/>
    <x v="1"/>
    <n v="59"/>
    <x v="1"/>
    <x v="96"/>
  </r>
  <r>
    <x v="114"/>
    <x v="71"/>
    <x v="11"/>
    <x v="11"/>
    <x v="0"/>
    <n v="45"/>
    <x v="2"/>
    <x v="97"/>
  </r>
  <r>
    <x v="115"/>
    <x v="53"/>
    <x v="36"/>
    <x v="103"/>
    <x v="1"/>
    <n v="55"/>
    <x v="4"/>
    <x v="50"/>
  </r>
  <r>
    <x v="116"/>
    <x v="72"/>
    <x v="6"/>
    <x v="104"/>
    <x v="4"/>
    <n v="47"/>
    <x v="1"/>
    <x v="98"/>
  </r>
  <r>
    <x v="117"/>
    <x v="0"/>
    <x v="30"/>
    <x v="105"/>
    <x v="3"/>
    <n v="75"/>
    <x v="0"/>
    <x v="87"/>
  </r>
  <r>
    <x v="118"/>
    <x v="44"/>
    <x v="3"/>
    <x v="106"/>
    <x v="2"/>
    <n v="88"/>
    <x v="0"/>
    <x v="2"/>
  </r>
  <r>
    <x v="119"/>
    <x v="19"/>
    <x v="1"/>
    <x v="62"/>
    <x v="3"/>
    <n v="66"/>
    <x v="1"/>
    <x v="99"/>
  </r>
  <r>
    <x v="120"/>
    <x v="73"/>
    <x v="22"/>
    <x v="107"/>
    <x v="3"/>
    <n v="78"/>
    <x v="4"/>
    <x v="66"/>
  </r>
  <r>
    <x v="121"/>
    <x v="25"/>
    <x v="9"/>
    <x v="108"/>
    <x v="3"/>
    <n v="78"/>
    <x v="2"/>
    <x v="100"/>
  </r>
  <r>
    <x v="122"/>
    <x v="74"/>
    <x v="41"/>
    <x v="109"/>
    <x v="2"/>
    <n v="90"/>
    <x v="2"/>
    <x v="101"/>
  </r>
  <r>
    <x v="123"/>
    <x v="66"/>
    <x v="36"/>
    <x v="110"/>
    <x v="3"/>
    <n v="79"/>
    <x v="0"/>
    <x v="102"/>
  </r>
  <r>
    <x v="124"/>
    <x v="75"/>
    <x v="47"/>
    <x v="111"/>
    <x v="1"/>
    <n v="54"/>
    <x v="1"/>
    <x v="103"/>
  </r>
  <r>
    <x v="125"/>
    <x v="76"/>
    <x v="20"/>
    <x v="78"/>
    <x v="2"/>
    <n v="89"/>
    <x v="0"/>
    <x v="104"/>
  </r>
  <r>
    <x v="126"/>
    <x v="77"/>
    <x v="48"/>
    <x v="42"/>
    <x v="3"/>
    <n v="73"/>
    <x v="1"/>
    <x v="105"/>
  </r>
  <r>
    <x v="127"/>
    <x v="78"/>
    <x v="32"/>
    <x v="14"/>
    <x v="3"/>
    <n v="64"/>
    <x v="2"/>
    <x v="32"/>
  </r>
  <r>
    <x v="128"/>
    <x v="79"/>
    <x v="46"/>
    <x v="106"/>
    <x v="3"/>
    <n v="68"/>
    <x v="0"/>
    <x v="20"/>
  </r>
  <r>
    <x v="129"/>
    <x v="29"/>
    <x v="22"/>
    <x v="112"/>
    <x v="3"/>
    <n v="68"/>
    <x v="0"/>
    <x v="23"/>
  </r>
  <r>
    <x v="130"/>
    <x v="80"/>
    <x v="41"/>
    <x v="113"/>
    <x v="1"/>
    <n v="59"/>
    <x v="0"/>
    <x v="106"/>
  </r>
  <r>
    <x v="131"/>
    <x v="81"/>
    <x v="10"/>
    <x v="114"/>
    <x v="2"/>
    <n v="95"/>
    <x v="1"/>
    <x v="47"/>
  </r>
  <r>
    <x v="132"/>
    <x v="79"/>
    <x v="11"/>
    <x v="95"/>
    <x v="3"/>
    <n v="77"/>
    <x v="4"/>
    <x v="107"/>
  </r>
  <r>
    <x v="133"/>
    <x v="52"/>
    <x v="43"/>
    <x v="115"/>
    <x v="3"/>
    <n v="67"/>
    <x v="2"/>
    <x v="108"/>
  </r>
  <r>
    <x v="134"/>
    <x v="36"/>
    <x v="36"/>
    <x v="116"/>
    <x v="1"/>
    <n v="59"/>
    <x v="0"/>
    <x v="46"/>
  </r>
  <r>
    <x v="135"/>
    <x v="82"/>
    <x v="22"/>
    <x v="54"/>
    <x v="3"/>
    <n v="76"/>
    <x v="2"/>
    <x v="13"/>
  </r>
  <r>
    <x v="136"/>
    <x v="83"/>
    <x v="5"/>
    <x v="117"/>
    <x v="3"/>
    <n v="79"/>
    <x v="1"/>
    <x v="25"/>
  </r>
  <r>
    <x v="137"/>
    <x v="73"/>
    <x v="41"/>
    <x v="118"/>
    <x v="0"/>
    <n v="43"/>
    <x v="0"/>
    <x v="11"/>
  </r>
  <r>
    <x v="138"/>
    <x v="73"/>
    <x v="12"/>
    <x v="81"/>
    <x v="3"/>
    <n v="79"/>
    <x v="0"/>
    <x v="70"/>
  </r>
  <r>
    <x v="139"/>
    <x v="84"/>
    <x v="17"/>
    <x v="119"/>
    <x v="2"/>
    <n v="87"/>
    <x v="1"/>
    <x v="109"/>
  </r>
  <r>
    <x v="140"/>
    <x v="85"/>
    <x v="46"/>
    <x v="120"/>
    <x v="4"/>
    <n v="46"/>
    <x v="0"/>
    <x v="37"/>
  </r>
  <r>
    <x v="141"/>
    <x v="13"/>
    <x v="5"/>
    <x v="121"/>
    <x v="2"/>
    <n v="88"/>
    <x v="2"/>
    <x v="110"/>
  </r>
  <r>
    <x v="142"/>
    <x v="42"/>
    <x v="47"/>
    <x v="122"/>
    <x v="1"/>
    <n v="53"/>
    <x v="3"/>
    <x v="111"/>
  </r>
  <r>
    <x v="143"/>
    <x v="53"/>
    <x v="33"/>
    <x v="93"/>
    <x v="3"/>
    <n v="80"/>
    <x v="0"/>
    <x v="11"/>
  </r>
  <r>
    <x v="144"/>
    <x v="86"/>
    <x v="34"/>
    <x v="123"/>
    <x v="1"/>
    <n v="53"/>
    <x v="1"/>
    <x v="109"/>
  </r>
  <r>
    <x v="145"/>
    <x v="41"/>
    <x v="22"/>
    <x v="124"/>
    <x v="1"/>
    <n v="56"/>
    <x v="0"/>
    <x v="55"/>
  </r>
  <r>
    <x v="146"/>
    <x v="25"/>
    <x v="0"/>
    <x v="32"/>
    <x v="2"/>
    <n v="82"/>
    <x v="4"/>
    <x v="112"/>
  </r>
  <r>
    <x v="147"/>
    <x v="24"/>
    <x v="44"/>
    <x v="125"/>
    <x v="0"/>
    <n v="45"/>
    <x v="0"/>
    <x v="113"/>
  </r>
  <r>
    <x v="148"/>
    <x v="11"/>
    <x v="45"/>
    <x v="126"/>
    <x v="1"/>
    <n v="50"/>
    <x v="1"/>
    <x v="96"/>
  </r>
  <r>
    <x v="149"/>
    <x v="80"/>
    <x v="6"/>
    <x v="127"/>
    <x v="1"/>
    <n v="55"/>
    <x v="1"/>
    <x v="114"/>
  </r>
  <r>
    <x v="150"/>
    <x v="47"/>
    <x v="9"/>
    <x v="128"/>
    <x v="1"/>
    <n v="51"/>
    <x v="2"/>
    <x v="101"/>
  </r>
  <r>
    <x v="151"/>
    <x v="12"/>
    <x v="19"/>
    <x v="129"/>
    <x v="3"/>
    <n v="75"/>
    <x v="2"/>
    <x v="115"/>
  </r>
  <r>
    <x v="152"/>
    <x v="68"/>
    <x v="32"/>
    <x v="130"/>
    <x v="0"/>
    <n v="44"/>
    <x v="1"/>
    <x v="116"/>
  </r>
  <r>
    <x v="153"/>
    <x v="87"/>
    <x v="28"/>
    <x v="131"/>
    <x v="1"/>
    <n v="50"/>
    <x v="0"/>
    <x v="117"/>
  </r>
  <r>
    <x v="154"/>
    <x v="88"/>
    <x v="9"/>
    <x v="18"/>
    <x v="5"/>
    <n v="40"/>
    <x v="1"/>
    <x v="118"/>
  </r>
  <r>
    <x v="155"/>
    <x v="3"/>
    <x v="24"/>
    <x v="132"/>
    <x v="3"/>
    <n v="66"/>
    <x v="1"/>
    <x v="119"/>
  </r>
  <r>
    <x v="156"/>
    <x v="18"/>
    <x v="0"/>
    <x v="133"/>
    <x v="3"/>
    <n v="68"/>
    <x v="0"/>
    <x v="120"/>
  </r>
  <r>
    <x v="157"/>
    <x v="14"/>
    <x v="10"/>
    <x v="134"/>
    <x v="2"/>
    <n v="84"/>
    <x v="0"/>
    <x v="6"/>
  </r>
  <r>
    <x v="158"/>
    <x v="3"/>
    <x v="43"/>
    <x v="110"/>
    <x v="3"/>
    <n v="78"/>
    <x v="1"/>
    <x v="68"/>
  </r>
  <r>
    <x v="159"/>
    <x v="9"/>
    <x v="49"/>
    <x v="135"/>
    <x v="3"/>
    <n v="70"/>
    <x v="1"/>
    <x v="9"/>
  </r>
  <r>
    <x v="160"/>
    <x v="83"/>
    <x v="16"/>
    <x v="136"/>
    <x v="1"/>
    <n v="58"/>
    <x v="1"/>
    <x v="98"/>
  </r>
  <r>
    <x v="161"/>
    <x v="63"/>
    <x v="34"/>
    <x v="137"/>
    <x v="0"/>
    <n v="42"/>
    <x v="0"/>
    <x v="86"/>
  </r>
  <r>
    <x v="162"/>
    <x v="3"/>
    <x v="25"/>
    <x v="138"/>
    <x v="1"/>
    <n v="54"/>
    <x v="1"/>
    <x v="24"/>
  </r>
  <r>
    <x v="163"/>
    <x v="71"/>
    <x v="31"/>
    <x v="139"/>
    <x v="1"/>
    <n v="58"/>
    <x v="0"/>
    <x v="2"/>
  </r>
  <r>
    <x v="164"/>
    <x v="31"/>
    <x v="8"/>
    <x v="18"/>
    <x v="2"/>
    <n v="85"/>
    <x v="2"/>
    <x v="121"/>
  </r>
  <r>
    <x v="165"/>
    <x v="83"/>
    <x v="18"/>
    <x v="140"/>
    <x v="1"/>
    <n v="58"/>
    <x v="0"/>
    <x v="122"/>
  </r>
  <r>
    <x v="166"/>
    <x v="37"/>
    <x v="10"/>
    <x v="29"/>
    <x v="2"/>
    <n v="84"/>
    <x v="0"/>
    <x v="40"/>
  </r>
  <r>
    <x v="167"/>
    <x v="5"/>
    <x v="38"/>
    <x v="141"/>
    <x v="2"/>
    <n v="95"/>
    <x v="2"/>
    <x v="123"/>
  </r>
  <r>
    <x v="168"/>
    <x v="9"/>
    <x v="40"/>
    <x v="142"/>
    <x v="3"/>
    <n v="69"/>
    <x v="0"/>
    <x v="77"/>
  </r>
  <r>
    <x v="169"/>
    <x v="89"/>
    <x v="1"/>
    <x v="143"/>
    <x v="0"/>
    <n v="44"/>
    <x v="1"/>
    <x v="124"/>
  </r>
  <r>
    <x v="170"/>
    <x v="43"/>
    <x v="19"/>
    <x v="144"/>
    <x v="2"/>
    <n v="83"/>
    <x v="4"/>
    <x v="125"/>
  </r>
  <r>
    <x v="171"/>
    <x v="90"/>
    <x v="16"/>
    <x v="85"/>
    <x v="1"/>
    <n v="54"/>
    <x v="0"/>
    <x v="126"/>
  </r>
  <r>
    <x v="172"/>
    <x v="85"/>
    <x v="20"/>
    <x v="145"/>
    <x v="1"/>
    <n v="56"/>
    <x v="0"/>
    <x v="126"/>
  </r>
  <r>
    <x v="173"/>
    <x v="74"/>
    <x v="26"/>
    <x v="146"/>
    <x v="2"/>
    <n v="90"/>
    <x v="2"/>
    <x v="100"/>
  </r>
  <r>
    <x v="174"/>
    <x v="15"/>
    <x v="37"/>
    <x v="147"/>
    <x v="2"/>
    <n v="90"/>
    <x v="2"/>
    <x v="127"/>
  </r>
  <r>
    <x v="175"/>
    <x v="91"/>
    <x v="7"/>
    <x v="148"/>
    <x v="3"/>
    <n v="80"/>
    <x v="0"/>
    <x v="51"/>
  </r>
  <r>
    <x v="176"/>
    <x v="21"/>
    <x v="39"/>
    <x v="149"/>
    <x v="3"/>
    <n v="77"/>
    <x v="0"/>
    <x v="48"/>
  </r>
  <r>
    <x v="177"/>
    <x v="86"/>
    <x v="48"/>
    <x v="150"/>
    <x v="2"/>
    <n v="82"/>
    <x v="0"/>
    <x v="126"/>
  </r>
  <r>
    <x v="178"/>
    <x v="86"/>
    <x v="34"/>
    <x v="85"/>
    <x v="2"/>
    <n v="91"/>
    <x v="0"/>
    <x v="37"/>
  </r>
  <r>
    <x v="179"/>
    <x v="92"/>
    <x v="2"/>
    <x v="151"/>
    <x v="1"/>
    <n v="52"/>
    <x v="0"/>
    <x v="86"/>
  </r>
  <r>
    <x v="180"/>
    <x v="24"/>
    <x v="16"/>
    <x v="152"/>
    <x v="3"/>
    <n v="67"/>
    <x v="0"/>
    <x v="128"/>
  </r>
  <r>
    <x v="181"/>
    <x v="5"/>
    <x v="17"/>
    <x v="153"/>
    <x v="4"/>
    <n v="47"/>
    <x v="0"/>
    <x v="20"/>
  </r>
  <r>
    <x v="182"/>
    <x v="93"/>
    <x v="17"/>
    <x v="47"/>
    <x v="3"/>
    <n v="74"/>
    <x v="2"/>
    <x v="101"/>
  </r>
  <r>
    <x v="183"/>
    <x v="21"/>
    <x v="6"/>
    <x v="154"/>
    <x v="1"/>
    <n v="54"/>
    <x v="3"/>
    <x v="129"/>
  </r>
  <r>
    <x v="184"/>
    <x v="55"/>
    <x v="6"/>
    <x v="155"/>
    <x v="2"/>
    <n v="81"/>
    <x v="0"/>
    <x v="130"/>
  </r>
  <r>
    <x v="185"/>
    <x v="18"/>
    <x v="17"/>
    <x v="16"/>
    <x v="4"/>
    <n v="49"/>
    <x v="1"/>
    <x v="131"/>
  </r>
  <r>
    <x v="186"/>
    <x v="31"/>
    <x v="28"/>
    <x v="156"/>
    <x v="1"/>
    <n v="57"/>
    <x v="0"/>
    <x v="28"/>
  </r>
  <r>
    <x v="187"/>
    <x v="58"/>
    <x v="13"/>
    <x v="157"/>
    <x v="2"/>
    <n v="92"/>
    <x v="0"/>
    <x v="117"/>
  </r>
  <r>
    <x v="188"/>
    <x v="91"/>
    <x v="32"/>
    <x v="158"/>
    <x v="4"/>
    <n v="49"/>
    <x v="1"/>
    <x v="132"/>
  </r>
  <r>
    <x v="189"/>
    <x v="94"/>
    <x v="26"/>
    <x v="96"/>
    <x v="0"/>
    <n v="44"/>
    <x v="1"/>
    <x v="133"/>
  </r>
  <r>
    <x v="190"/>
    <x v="8"/>
    <x v="29"/>
    <x v="18"/>
    <x v="0"/>
    <n v="43"/>
    <x v="0"/>
    <x v="62"/>
  </r>
  <r>
    <x v="191"/>
    <x v="38"/>
    <x v="30"/>
    <x v="159"/>
    <x v="1"/>
    <n v="50"/>
    <x v="0"/>
    <x v="48"/>
  </r>
  <r>
    <x v="192"/>
    <x v="58"/>
    <x v="17"/>
    <x v="100"/>
    <x v="2"/>
    <n v="90"/>
    <x v="1"/>
    <x v="47"/>
  </r>
  <r>
    <x v="193"/>
    <x v="78"/>
    <x v="19"/>
    <x v="160"/>
    <x v="1"/>
    <n v="59"/>
    <x v="4"/>
    <x v="134"/>
  </r>
  <r>
    <x v="194"/>
    <x v="94"/>
    <x v="40"/>
    <x v="161"/>
    <x v="3"/>
    <n v="78"/>
    <x v="0"/>
    <x v="135"/>
  </r>
  <r>
    <x v="195"/>
    <x v="31"/>
    <x v="44"/>
    <x v="162"/>
    <x v="2"/>
    <n v="87"/>
    <x v="2"/>
    <x v="32"/>
  </r>
  <r>
    <x v="196"/>
    <x v="28"/>
    <x v="13"/>
    <x v="163"/>
    <x v="2"/>
    <n v="92"/>
    <x v="2"/>
    <x v="136"/>
  </r>
  <r>
    <x v="197"/>
    <x v="81"/>
    <x v="18"/>
    <x v="164"/>
    <x v="3"/>
    <n v="76"/>
    <x v="1"/>
    <x v="137"/>
  </r>
  <r>
    <x v="198"/>
    <x v="61"/>
    <x v="39"/>
    <x v="165"/>
    <x v="1"/>
    <n v="58"/>
    <x v="2"/>
    <x v="123"/>
  </r>
  <r>
    <x v="199"/>
    <x v="95"/>
    <x v="12"/>
    <x v="166"/>
    <x v="3"/>
    <n v="68"/>
    <x v="0"/>
    <x v="1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8">
    <pivotField axis="axisRow" showAll="0" measureFilter="1" sortType="de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autoSortScope>
        <pivotArea dataOnly="0" outline="0" fieldPosition="0">
          <references count="1">
            <reference field="4294967294" count="1" selected="0">
              <x v="0"/>
            </reference>
          </references>
        </pivotArea>
      </autoSortScope>
    </pivotField>
    <pivotField showAll="0">
      <items count="97">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items count="7">
        <item x="5"/>
        <item x="4"/>
        <item x="2"/>
        <item x="0"/>
        <item x="1"/>
        <item x="3"/>
        <item t="default"/>
      </items>
    </pivotField>
    <pivotField dataField="1" showAll="0"/>
  </pivotFields>
  <rowFields count="1">
    <field x="0"/>
  </rowFields>
  <rowItems count="6">
    <i>
      <x v="86"/>
    </i>
    <i>
      <x v="83"/>
    </i>
    <i>
      <x v="60"/>
    </i>
    <i>
      <x v="120"/>
    </i>
    <i>
      <x v="71"/>
    </i>
    <i t="grand">
      <x/>
    </i>
  </rowItems>
  <colItems count="1">
    <i/>
  </colItems>
  <dataFields count="1">
    <dataField name="Sum of Exam score" fld="7" baseField="0" baseItem="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86"/>
          </reference>
        </references>
      </pivotArea>
    </chartFormat>
    <chartFormat chart="0" format="2">
      <pivotArea type="data" outline="0" fieldPosition="0">
        <references count="2">
          <reference field="4294967294" count="1" selected="0">
            <x v="0"/>
          </reference>
          <reference field="0" count="1" selected="0">
            <x v="83"/>
          </reference>
        </references>
      </pivotArea>
    </chartFormat>
    <chartFormat chart="0" format="3">
      <pivotArea type="data" outline="0" fieldPosition="0">
        <references count="2">
          <reference field="4294967294" count="1" selected="0">
            <x v="0"/>
          </reference>
          <reference field="0" count="1" selected="0">
            <x v="60"/>
          </reference>
        </references>
      </pivotArea>
    </chartFormat>
    <chartFormat chart="0" format="4">
      <pivotArea type="data" outline="0" fieldPosition="0">
        <references count="2">
          <reference field="4294967294" count="1" selected="0">
            <x v="0"/>
          </reference>
          <reference field="0" count="1" selected="0">
            <x v="71"/>
          </reference>
        </references>
      </pivotArea>
    </chartFormat>
    <chartFormat chart="0" format="5">
      <pivotArea type="data" outline="0" fieldPosition="0">
        <references count="2">
          <reference field="4294967294" count="1" selected="0">
            <x v="0"/>
          </reference>
          <reference field="0" count="1" selected="0">
            <x v="120"/>
          </reference>
        </references>
      </pivotArea>
    </chartFormat>
    <chartFormat chart="0" format="6">
      <pivotArea type="data" outline="0" fieldPosition="0">
        <references count="2">
          <reference field="4294967294" count="1" selected="0">
            <x v="0"/>
          </reference>
          <reference field="0" count="1" selected="0">
            <x v="193"/>
          </reference>
        </references>
      </pivotArea>
    </chartFormat>
    <chartFormat chart="0" format="7">
      <pivotArea type="data" outline="0" fieldPosition="0">
        <references count="2">
          <reference field="4294967294" count="1" selected="0">
            <x v="0"/>
          </reference>
          <reference field="0" count="1" selected="0">
            <x v="115"/>
          </reference>
        </references>
      </pivotArea>
    </chartFormat>
    <chartFormat chart="0" format="8">
      <pivotArea type="data" outline="0" fieldPosition="0">
        <references count="2">
          <reference field="4294967294" count="1" selected="0">
            <x v="0"/>
          </reference>
          <reference field="0" count="1" selected="0">
            <x v="53"/>
          </reference>
        </references>
      </pivotArea>
    </chartFormat>
    <chartFormat chart="0" format="9">
      <pivotArea type="data" outline="0" fieldPosition="0">
        <references count="2">
          <reference field="4294967294" count="1" selected="0">
            <x v="0"/>
          </reference>
          <reference field="0" count="1" selected="0">
            <x v="20"/>
          </reference>
        </references>
      </pivotArea>
    </chartFormat>
    <chartFormat chart="0" format="10">
      <pivotArea type="data" outline="0" fieldPosition="0">
        <references count="2">
          <reference field="4294967294" count="1" selected="0">
            <x v="0"/>
          </reference>
          <reference field="0" count="1" selected="0">
            <x v="146"/>
          </reference>
        </references>
      </pivotArea>
    </chartFormat>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0" count="1" selected="0">
            <x v="86"/>
          </reference>
        </references>
      </pivotArea>
    </chartFormat>
    <chartFormat chart="2" format="24">
      <pivotArea type="data" outline="0" fieldPosition="0">
        <references count="2">
          <reference field="4294967294" count="1" selected="0">
            <x v="0"/>
          </reference>
          <reference field="0" count="1" selected="0">
            <x v="83"/>
          </reference>
        </references>
      </pivotArea>
    </chartFormat>
    <chartFormat chart="2" format="25">
      <pivotArea type="data" outline="0" fieldPosition="0">
        <references count="2">
          <reference field="4294967294" count="1" selected="0">
            <x v="0"/>
          </reference>
          <reference field="0" count="1" selected="0">
            <x v="60"/>
          </reference>
        </references>
      </pivotArea>
    </chartFormat>
    <chartFormat chart="2" format="26">
      <pivotArea type="data" outline="0" fieldPosition="0">
        <references count="2">
          <reference field="4294967294" count="1" selected="0">
            <x v="0"/>
          </reference>
          <reference field="0" count="1" selected="0">
            <x v="71"/>
          </reference>
        </references>
      </pivotArea>
    </chartFormat>
    <chartFormat chart="2" format="27">
      <pivotArea type="data" outline="0" fieldPosition="0">
        <references count="2">
          <reference field="4294967294" count="1" selected="0">
            <x v="0"/>
          </reference>
          <reference field="0" count="1" selected="0">
            <x v="120"/>
          </reference>
        </references>
      </pivotArea>
    </chartFormat>
    <chartFormat chart="2" format="28">
      <pivotArea type="data" outline="0" fieldPosition="0">
        <references count="2">
          <reference field="4294967294" count="1" selected="0">
            <x v="0"/>
          </reference>
          <reference field="0" count="1" selected="0">
            <x v="193"/>
          </reference>
        </references>
      </pivotArea>
    </chartFormat>
    <chartFormat chart="2" format="29">
      <pivotArea type="data" outline="0" fieldPosition="0">
        <references count="2">
          <reference field="4294967294" count="1" selected="0">
            <x v="0"/>
          </reference>
          <reference field="0" count="1" selected="0">
            <x v="115"/>
          </reference>
        </references>
      </pivotArea>
    </chartFormat>
    <chartFormat chart="2" format="30">
      <pivotArea type="data" outline="0" fieldPosition="0">
        <references count="2">
          <reference field="4294967294" count="1" selected="0">
            <x v="0"/>
          </reference>
          <reference field="0" count="1" selected="0">
            <x v="53"/>
          </reference>
        </references>
      </pivotArea>
    </chartFormat>
    <chartFormat chart="2" format="31">
      <pivotArea type="data" outline="0" fieldPosition="0">
        <references count="2">
          <reference field="4294967294" count="1" selected="0">
            <x v="0"/>
          </reference>
          <reference field="0" count="1" selected="0">
            <x v="20"/>
          </reference>
        </references>
      </pivotArea>
    </chartFormat>
    <chartFormat chart="2" format="32">
      <pivotArea type="data" outline="0" fieldPosition="0">
        <references count="2">
          <reference field="4294967294" count="1" selected="0">
            <x v="0"/>
          </reference>
          <reference field="0" count="1" selected="0">
            <x v="146"/>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8">
    <pivotField axis="axisRow" showAll="0" measureFilter="1" sortType="de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autoSortScope>
        <pivotArea dataOnly="0" outline="0" fieldPosition="0">
          <references count="1">
            <reference field="4294967294" count="1" selected="0">
              <x v="0"/>
            </reference>
          </references>
        </pivotArea>
      </autoSortScope>
    </pivotField>
    <pivotField showAll="0">
      <items count="97">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items count="7">
        <item x="5"/>
        <item x="4"/>
        <item x="2"/>
        <item x="0"/>
        <item x="1"/>
        <item x="3"/>
        <item t="default"/>
      </items>
    </pivotField>
    <pivotField dataField="1" showAll="0"/>
  </pivotFields>
  <rowFields count="1">
    <field x="0"/>
  </rowFields>
  <rowItems count="6">
    <i>
      <x v="70"/>
    </i>
    <i>
      <x v="183"/>
    </i>
    <i>
      <x v="142"/>
    </i>
    <i>
      <x v="7"/>
    </i>
    <i>
      <x v="19"/>
    </i>
    <i t="grand">
      <x/>
    </i>
  </rowItems>
  <colItems count="1">
    <i/>
  </colItems>
  <dataFields count="1">
    <dataField name="Sum of Exam score" fld="7" baseField="0" baseItem="0"/>
  </dataFields>
  <chartFormats count="4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86"/>
          </reference>
        </references>
      </pivotArea>
    </chartFormat>
    <chartFormat chart="0" format="2">
      <pivotArea type="data" outline="0" fieldPosition="0">
        <references count="2">
          <reference field="4294967294" count="1" selected="0">
            <x v="0"/>
          </reference>
          <reference field="0" count="1" selected="0">
            <x v="83"/>
          </reference>
        </references>
      </pivotArea>
    </chartFormat>
    <chartFormat chart="0" format="3">
      <pivotArea type="data" outline="0" fieldPosition="0">
        <references count="2">
          <reference field="4294967294" count="1" selected="0">
            <x v="0"/>
          </reference>
          <reference field="0" count="1" selected="0">
            <x v="60"/>
          </reference>
        </references>
      </pivotArea>
    </chartFormat>
    <chartFormat chart="0" format="4">
      <pivotArea type="data" outline="0" fieldPosition="0">
        <references count="2">
          <reference field="4294967294" count="1" selected="0">
            <x v="0"/>
          </reference>
          <reference field="0" count="1" selected="0">
            <x v="71"/>
          </reference>
        </references>
      </pivotArea>
    </chartFormat>
    <chartFormat chart="0" format="5">
      <pivotArea type="data" outline="0" fieldPosition="0">
        <references count="2">
          <reference field="4294967294" count="1" selected="0">
            <x v="0"/>
          </reference>
          <reference field="0" count="1" selected="0">
            <x v="120"/>
          </reference>
        </references>
      </pivotArea>
    </chartFormat>
    <chartFormat chart="0" format="6">
      <pivotArea type="data" outline="0" fieldPosition="0">
        <references count="2">
          <reference field="4294967294" count="1" selected="0">
            <x v="0"/>
          </reference>
          <reference field="0" count="1" selected="0">
            <x v="193"/>
          </reference>
        </references>
      </pivotArea>
    </chartFormat>
    <chartFormat chart="0" format="7">
      <pivotArea type="data" outline="0" fieldPosition="0">
        <references count="2">
          <reference field="4294967294" count="1" selected="0">
            <x v="0"/>
          </reference>
          <reference field="0" count="1" selected="0">
            <x v="115"/>
          </reference>
        </references>
      </pivotArea>
    </chartFormat>
    <chartFormat chart="0" format="8">
      <pivotArea type="data" outline="0" fieldPosition="0">
        <references count="2">
          <reference field="4294967294" count="1" selected="0">
            <x v="0"/>
          </reference>
          <reference field="0" count="1" selected="0">
            <x v="53"/>
          </reference>
        </references>
      </pivotArea>
    </chartFormat>
    <chartFormat chart="0" format="9">
      <pivotArea type="data" outline="0" fieldPosition="0">
        <references count="2">
          <reference field="4294967294" count="1" selected="0">
            <x v="0"/>
          </reference>
          <reference field="0" count="1" selected="0">
            <x v="20"/>
          </reference>
        </references>
      </pivotArea>
    </chartFormat>
    <chartFormat chart="0" format="10">
      <pivotArea type="data" outline="0" fieldPosition="0">
        <references count="2">
          <reference field="4294967294" count="1" selected="0">
            <x v="0"/>
          </reference>
          <reference field="0" count="1" selected="0">
            <x v="146"/>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0" count="1" selected="0">
            <x v="86"/>
          </reference>
        </references>
      </pivotArea>
    </chartFormat>
    <chartFormat chart="1" format="13">
      <pivotArea type="data" outline="0" fieldPosition="0">
        <references count="2">
          <reference field="4294967294" count="1" selected="0">
            <x v="0"/>
          </reference>
          <reference field="0" count="1" selected="0">
            <x v="83"/>
          </reference>
        </references>
      </pivotArea>
    </chartFormat>
    <chartFormat chart="1" format="14">
      <pivotArea type="data" outline="0" fieldPosition="0">
        <references count="2">
          <reference field="4294967294" count="1" selected="0">
            <x v="0"/>
          </reference>
          <reference field="0" count="1" selected="0">
            <x v="60"/>
          </reference>
        </references>
      </pivotArea>
    </chartFormat>
    <chartFormat chart="1" format="15">
      <pivotArea type="data" outline="0" fieldPosition="0">
        <references count="2">
          <reference field="4294967294" count="1" selected="0">
            <x v="0"/>
          </reference>
          <reference field="0" count="1" selected="0">
            <x v="71"/>
          </reference>
        </references>
      </pivotArea>
    </chartFormat>
    <chartFormat chart="1" format="16">
      <pivotArea type="data" outline="0" fieldPosition="0">
        <references count="2">
          <reference field="4294967294" count="1" selected="0">
            <x v="0"/>
          </reference>
          <reference field="0" count="1" selected="0">
            <x v="120"/>
          </reference>
        </references>
      </pivotArea>
    </chartFormat>
    <chartFormat chart="1" format="17">
      <pivotArea type="data" outline="0" fieldPosition="0">
        <references count="2">
          <reference field="4294967294" count="1" selected="0">
            <x v="0"/>
          </reference>
          <reference field="0" count="1" selected="0">
            <x v="193"/>
          </reference>
        </references>
      </pivotArea>
    </chartFormat>
    <chartFormat chart="1" format="18">
      <pivotArea type="data" outline="0" fieldPosition="0">
        <references count="2">
          <reference field="4294967294" count="1" selected="0">
            <x v="0"/>
          </reference>
          <reference field="0" count="1" selected="0">
            <x v="115"/>
          </reference>
        </references>
      </pivotArea>
    </chartFormat>
    <chartFormat chart="1" format="19">
      <pivotArea type="data" outline="0" fieldPosition="0">
        <references count="2">
          <reference field="4294967294" count="1" selected="0">
            <x v="0"/>
          </reference>
          <reference field="0" count="1" selected="0">
            <x v="53"/>
          </reference>
        </references>
      </pivotArea>
    </chartFormat>
    <chartFormat chart="1" format="20">
      <pivotArea type="data" outline="0" fieldPosition="0">
        <references count="2">
          <reference field="4294967294" count="1" selected="0">
            <x v="0"/>
          </reference>
          <reference field="0" count="1" selected="0">
            <x v="20"/>
          </reference>
        </references>
      </pivotArea>
    </chartFormat>
    <chartFormat chart="1" format="21">
      <pivotArea type="data" outline="0" fieldPosition="0">
        <references count="2">
          <reference field="4294967294" count="1" selected="0">
            <x v="0"/>
          </reference>
          <reference field="0" count="1" selected="0">
            <x v="146"/>
          </reference>
        </references>
      </pivotArea>
    </chartFormat>
    <chartFormat chart="1" format="22">
      <pivotArea type="data" outline="0" fieldPosition="0">
        <references count="2">
          <reference field="4294967294" count="1" selected="0">
            <x v="0"/>
          </reference>
          <reference field="0" count="1" selected="0">
            <x v="185"/>
          </reference>
        </references>
      </pivotArea>
    </chartFormat>
    <chartFormat chart="1" format="23">
      <pivotArea type="data" outline="0" fieldPosition="0">
        <references count="2">
          <reference field="4294967294" count="1" selected="0">
            <x v="0"/>
          </reference>
          <reference field="0" count="1" selected="0">
            <x v="169"/>
          </reference>
        </references>
      </pivotArea>
    </chartFormat>
    <chartFormat chart="1" format="24">
      <pivotArea type="data" outline="0" fieldPosition="0">
        <references count="2">
          <reference field="4294967294" count="1" selected="0">
            <x v="0"/>
          </reference>
          <reference field="0" count="1" selected="0">
            <x v="149"/>
          </reference>
        </references>
      </pivotArea>
    </chartFormat>
    <chartFormat chart="1" format="25">
      <pivotArea type="data" outline="0" fieldPosition="0">
        <references count="2">
          <reference field="4294967294" count="1" selected="0">
            <x v="0"/>
          </reference>
          <reference field="0" count="1" selected="0">
            <x v="66"/>
          </reference>
        </references>
      </pivotArea>
    </chartFormat>
    <chartFormat chart="1" format="26">
      <pivotArea type="data" outline="0" fieldPosition="0">
        <references count="2">
          <reference field="4294967294" count="1" selected="0">
            <x v="0"/>
          </reference>
          <reference field="0" count="1" selected="0">
            <x v="124"/>
          </reference>
        </references>
      </pivotArea>
    </chartFormat>
    <chartFormat chart="1" format="27">
      <pivotArea type="data" outline="0" fieldPosition="0">
        <references count="2">
          <reference field="4294967294" count="1" selected="0">
            <x v="0"/>
          </reference>
          <reference field="0" count="1" selected="0">
            <x v="70"/>
          </reference>
        </references>
      </pivotArea>
    </chartFormat>
    <chartFormat chart="1" format="28">
      <pivotArea type="data" outline="0" fieldPosition="0">
        <references count="2">
          <reference field="4294967294" count="1" selected="0">
            <x v="0"/>
          </reference>
          <reference field="0" count="1" selected="0">
            <x v="183"/>
          </reference>
        </references>
      </pivotArea>
    </chartFormat>
    <chartFormat chart="1" format="29">
      <pivotArea type="data" outline="0" fieldPosition="0">
        <references count="2">
          <reference field="4294967294" count="1" selected="0">
            <x v="0"/>
          </reference>
          <reference field="0" count="1" selected="0">
            <x v="142"/>
          </reference>
        </references>
      </pivotArea>
    </chartFormat>
    <chartFormat chart="1" format="30">
      <pivotArea type="data" outline="0" fieldPosition="0">
        <references count="2">
          <reference field="4294967294" count="1" selected="0">
            <x v="0"/>
          </reference>
          <reference field="0" count="1" selected="0">
            <x v="7"/>
          </reference>
        </references>
      </pivotArea>
    </chartFormat>
    <chartFormat chart="1" format="31">
      <pivotArea type="data" outline="0" fieldPosition="0">
        <references count="2">
          <reference field="4294967294" count="1" selected="0">
            <x v="0"/>
          </reference>
          <reference field="0" count="1" selected="0">
            <x v="19"/>
          </reference>
        </references>
      </pivotArea>
    </chartFormat>
    <chartFormat chart="3" format="43" series="1">
      <pivotArea type="data" outline="0" fieldPosition="0">
        <references count="1">
          <reference field="4294967294" count="1" selected="0">
            <x v="0"/>
          </reference>
        </references>
      </pivotArea>
    </chartFormat>
    <chartFormat chart="3" format="44">
      <pivotArea type="data" outline="0" fieldPosition="0">
        <references count="2">
          <reference field="4294967294" count="1" selected="0">
            <x v="0"/>
          </reference>
          <reference field="0" count="1" selected="0">
            <x v="185"/>
          </reference>
        </references>
      </pivotArea>
    </chartFormat>
    <chartFormat chart="3" format="45">
      <pivotArea type="data" outline="0" fieldPosition="0">
        <references count="2">
          <reference field="4294967294" count="1" selected="0">
            <x v="0"/>
          </reference>
          <reference field="0" count="1" selected="0">
            <x v="169"/>
          </reference>
        </references>
      </pivotArea>
    </chartFormat>
    <chartFormat chart="3" format="46">
      <pivotArea type="data" outline="0" fieldPosition="0">
        <references count="2">
          <reference field="4294967294" count="1" selected="0">
            <x v="0"/>
          </reference>
          <reference field="0" count="1" selected="0">
            <x v="149"/>
          </reference>
        </references>
      </pivotArea>
    </chartFormat>
    <chartFormat chart="3" format="47">
      <pivotArea type="data" outline="0" fieldPosition="0">
        <references count="2">
          <reference field="4294967294" count="1" selected="0">
            <x v="0"/>
          </reference>
          <reference field="0" count="1" selected="0">
            <x v="66"/>
          </reference>
        </references>
      </pivotArea>
    </chartFormat>
    <chartFormat chart="3" format="48">
      <pivotArea type="data" outline="0" fieldPosition="0">
        <references count="2">
          <reference field="4294967294" count="1" selected="0">
            <x v="0"/>
          </reference>
          <reference field="0" count="1" selected="0">
            <x v="124"/>
          </reference>
        </references>
      </pivotArea>
    </chartFormat>
    <chartFormat chart="3" format="49">
      <pivotArea type="data" outline="0" fieldPosition="0">
        <references count="2">
          <reference field="4294967294" count="1" selected="0">
            <x v="0"/>
          </reference>
          <reference field="0" count="1" selected="0">
            <x v="70"/>
          </reference>
        </references>
      </pivotArea>
    </chartFormat>
    <chartFormat chart="3" format="50">
      <pivotArea type="data" outline="0" fieldPosition="0">
        <references count="2">
          <reference field="4294967294" count="1" selected="0">
            <x v="0"/>
          </reference>
          <reference field="0" count="1" selected="0">
            <x v="183"/>
          </reference>
        </references>
      </pivotArea>
    </chartFormat>
    <chartFormat chart="3" format="51">
      <pivotArea type="data" outline="0" fieldPosition="0">
        <references count="2">
          <reference field="4294967294" count="1" selected="0">
            <x v="0"/>
          </reference>
          <reference field="0" count="1" selected="0">
            <x v="142"/>
          </reference>
        </references>
      </pivotArea>
    </chartFormat>
    <chartFormat chart="3" format="52">
      <pivotArea type="data" outline="0" fieldPosition="0">
        <references count="2">
          <reference field="4294967294" count="1" selected="0">
            <x v="0"/>
          </reference>
          <reference field="0" count="1" selected="0">
            <x v="7"/>
          </reference>
        </references>
      </pivotArea>
    </chartFormat>
    <chartFormat chart="3" format="53">
      <pivotArea type="data" outline="0" fieldPosition="0">
        <references count="2">
          <reference field="4294967294" count="1" selected="0">
            <x v="0"/>
          </reference>
          <reference field="0" count="1" selected="0">
            <x v="19"/>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4" firstHeaderRow="1" firstDataRow="1" firstDataCol="1"/>
  <pivotFields count="8">
    <pivotField axis="axisRow" showAll="0" measureFilter="1" sortType="descending">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autoSortScope>
        <pivotArea dataOnly="0" outline="0" fieldPosition="0">
          <references count="1">
            <reference field="4294967294" count="1" selected="0">
              <x v="0"/>
            </reference>
          </references>
        </pivotArea>
      </autoSortScope>
    </pivotField>
    <pivotField dataField="1" showAll="0">
      <items count="97">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showAll="0"/>
    <pivotField showAll="0">
      <items count="13">
        <item x="0"/>
        <item x="1"/>
        <item x="2"/>
        <item x="3"/>
        <item x="4"/>
        <item x="5"/>
        <item x="6"/>
        <item x="7"/>
        <item x="8"/>
        <item x="9"/>
        <item x="10"/>
        <item x="11"/>
        <item t="default"/>
      </items>
    </pivotField>
    <pivotField showAll="0"/>
    <pivotField showAll="0"/>
    <pivotField showAll="0">
      <items count="7">
        <item x="5"/>
        <item x="4"/>
        <item x="2"/>
        <item x="0"/>
        <item x="1"/>
        <item x="3"/>
        <item t="default"/>
      </items>
    </pivotField>
    <pivotField showAll="0"/>
  </pivotFields>
  <rowFields count="1">
    <field x="0"/>
  </rowFields>
  <rowItems count="11">
    <i>
      <x v="86"/>
    </i>
    <i>
      <x v="198"/>
    </i>
    <i>
      <x v="96"/>
    </i>
    <i>
      <x v="150"/>
    </i>
    <i>
      <x v="60"/>
    </i>
    <i>
      <x v="182"/>
    </i>
    <i>
      <x v="33"/>
    </i>
    <i>
      <x v="98"/>
    </i>
    <i>
      <x v="24"/>
    </i>
    <i>
      <x v="109"/>
    </i>
    <i t="grand">
      <x/>
    </i>
  </rowItems>
  <colItems count="1">
    <i/>
  </colItems>
  <dataFields count="1">
    <dataField name="Average of Hours studied" fld="1" subtotal="average" baseField="1" baseItem="0"/>
  </dataFields>
  <chartFormats count="2">
    <chartFormat chart="2" format="43" series="1">
      <pivotArea type="data" outline="0" fieldPosition="0">
        <references count="1">
          <reference field="4294967294" count="1" selected="0">
            <x v="0"/>
          </reference>
        </references>
      </pivotArea>
    </chartFormat>
    <chartFormat chart="4"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H10" firstHeaderRow="1" firstDataRow="2" firstDataCol="1"/>
  <pivotFields count="8">
    <pivotField showAll="0"/>
    <pivotField showAll="0">
      <items count="97">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showAll="0"/>
    <pivotField axis="axisRow" showAll="0">
      <items count="13">
        <item x="0"/>
        <item x="1"/>
        <item x="2"/>
        <item x="3"/>
        <item x="4"/>
        <item x="5"/>
        <item x="6"/>
        <item x="7"/>
        <item x="8"/>
        <item x="9"/>
        <item x="10"/>
        <item x="11"/>
        <item t="default"/>
      </items>
    </pivotField>
    <pivotField showAll="0"/>
    <pivotField showAll="0"/>
    <pivotField axis="axisCol" dataField="1" showAll="0">
      <items count="7">
        <item x="5"/>
        <item x="4"/>
        <item x="2"/>
        <item x="0"/>
        <item x="1"/>
        <item x="3"/>
        <item t="default"/>
      </items>
    </pivotField>
    <pivotField showAll="0"/>
  </pivotFields>
  <rowFields count="1">
    <field x="3"/>
  </rowFields>
  <rowItems count="6">
    <i>
      <x v="6"/>
    </i>
    <i>
      <x v="7"/>
    </i>
    <i>
      <x v="8"/>
    </i>
    <i>
      <x v="9"/>
    </i>
    <i>
      <x v="10"/>
    </i>
    <i t="grand">
      <x/>
    </i>
  </rowItems>
  <colFields count="1">
    <field x="6"/>
  </colFields>
  <colItems count="7">
    <i>
      <x/>
    </i>
    <i>
      <x v="1"/>
    </i>
    <i>
      <x v="2"/>
    </i>
    <i>
      <x v="3"/>
    </i>
    <i>
      <x v="4"/>
    </i>
    <i>
      <x v="5"/>
    </i>
    <i t="grand">
      <x/>
    </i>
  </colItems>
  <dataFields count="1">
    <dataField name="Count of Exam grade" fld="6" subtotal="count" baseField="0" baseItem="0"/>
  </dataFields>
  <chartFormats count="13">
    <chartFormat chart="3" format="46" series="1">
      <pivotArea type="data" outline="0" fieldPosition="0">
        <references count="1">
          <reference field="4294967294" count="1" selected="0">
            <x v="0"/>
          </reference>
        </references>
      </pivotArea>
    </chartFormat>
    <chartFormat chart="3" format="47" series="1">
      <pivotArea type="data" outline="0" fieldPosition="0">
        <references count="2">
          <reference field="4294967294" count="1" selected="0">
            <x v="0"/>
          </reference>
          <reference field="6" count="1" selected="0">
            <x v="1"/>
          </reference>
        </references>
      </pivotArea>
    </chartFormat>
    <chartFormat chart="3" format="48" series="1">
      <pivotArea type="data" outline="0" fieldPosition="0">
        <references count="2">
          <reference field="4294967294" count="1" selected="0">
            <x v="0"/>
          </reference>
          <reference field="6" count="1" selected="0">
            <x v="2"/>
          </reference>
        </references>
      </pivotArea>
    </chartFormat>
    <chartFormat chart="3" format="49" series="1">
      <pivotArea type="data" outline="0" fieldPosition="0">
        <references count="2">
          <reference field="4294967294" count="1" selected="0">
            <x v="0"/>
          </reference>
          <reference field="6" count="1" selected="0">
            <x v="3"/>
          </reference>
        </references>
      </pivotArea>
    </chartFormat>
    <chartFormat chart="3" format="50" series="1">
      <pivotArea type="data" outline="0" fieldPosition="0">
        <references count="2">
          <reference field="4294967294" count="1" selected="0">
            <x v="0"/>
          </reference>
          <reference field="6" count="1" selected="0">
            <x v="4"/>
          </reference>
        </references>
      </pivotArea>
    </chartFormat>
    <chartFormat chart="3" format="51" series="1">
      <pivotArea type="data" outline="0" fieldPosition="0">
        <references count="2">
          <reference field="4294967294" count="1" selected="0">
            <x v="0"/>
          </reference>
          <reference field="6" count="1" selected="0">
            <x v="5"/>
          </reference>
        </references>
      </pivotArea>
    </chartFormat>
    <chartFormat chart="3" format="52" series="1">
      <pivotArea type="data" outline="0" fieldPosition="0">
        <references count="2">
          <reference field="4294967294" count="1" selected="0">
            <x v="0"/>
          </reference>
          <reference field="6" count="1" selected="0">
            <x v="0"/>
          </reference>
        </references>
      </pivotArea>
    </chartFormat>
    <chartFormat chart="5" format="59" series="1">
      <pivotArea type="data" outline="0" fieldPosition="0">
        <references count="2">
          <reference field="4294967294" count="1" selected="0">
            <x v="0"/>
          </reference>
          <reference field="6" count="1" selected="0">
            <x v="0"/>
          </reference>
        </references>
      </pivotArea>
    </chartFormat>
    <chartFormat chart="5" format="60" series="1">
      <pivotArea type="data" outline="0" fieldPosition="0">
        <references count="2">
          <reference field="4294967294" count="1" selected="0">
            <x v="0"/>
          </reference>
          <reference field="6" count="1" selected="0">
            <x v="1"/>
          </reference>
        </references>
      </pivotArea>
    </chartFormat>
    <chartFormat chart="5" format="61" series="1">
      <pivotArea type="data" outline="0" fieldPosition="0">
        <references count="2">
          <reference field="4294967294" count="1" selected="0">
            <x v="0"/>
          </reference>
          <reference field="6" count="1" selected="0">
            <x v="2"/>
          </reference>
        </references>
      </pivotArea>
    </chartFormat>
    <chartFormat chart="5" format="62" series="1">
      <pivotArea type="data" outline="0" fieldPosition="0">
        <references count="2">
          <reference field="4294967294" count="1" selected="0">
            <x v="0"/>
          </reference>
          <reference field="6" count="1" selected="0">
            <x v="3"/>
          </reference>
        </references>
      </pivotArea>
    </chartFormat>
    <chartFormat chart="5" format="63" series="1">
      <pivotArea type="data" outline="0" fieldPosition="0">
        <references count="2">
          <reference field="4294967294" count="1" selected="0">
            <x v="0"/>
          </reference>
          <reference field="6" count="1" selected="0">
            <x v="4"/>
          </reference>
        </references>
      </pivotArea>
    </chartFormat>
    <chartFormat chart="5" format="64"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H10" firstHeaderRow="1" firstDataRow="2" firstDataCol="1"/>
  <pivotFields count="8">
    <pivotField showAll="0"/>
    <pivotField showAll="0">
      <items count="97">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showAll="0"/>
    <pivotField axis="axisRow" showAll="0">
      <items count="13">
        <item x="0"/>
        <item x="1"/>
        <item x="2"/>
        <item x="3"/>
        <item x="4"/>
        <item x="5"/>
        <item x="6"/>
        <item x="7"/>
        <item x="8"/>
        <item x="9"/>
        <item x="10"/>
        <item x="11"/>
        <item t="default"/>
      </items>
    </pivotField>
    <pivotField axis="axisCol" dataField="1" showAll="0">
      <items count="7">
        <item x="2"/>
        <item x="3"/>
        <item x="1"/>
        <item x="4"/>
        <item x="0"/>
        <item x="5"/>
        <item t="default"/>
      </items>
    </pivotField>
    <pivotField showAll="0"/>
    <pivotField showAll="0">
      <items count="7">
        <item x="5"/>
        <item x="4"/>
        <item x="2"/>
        <item x="0"/>
        <item x="1"/>
        <item x="3"/>
        <item t="default"/>
      </items>
    </pivotField>
    <pivotField showAll="0"/>
  </pivotFields>
  <rowFields count="1">
    <field x="3"/>
  </rowFields>
  <rowItems count="6">
    <i>
      <x v="6"/>
    </i>
    <i>
      <x v="7"/>
    </i>
    <i>
      <x v="8"/>
    </i>
    <i>
      <x v="9"/>
    </i>
    <i>
      <x v="10"/>
    </i>
    <i t="grand">
      <x/>
    </i>
  </rowItems>
  <colFields count="1">
    <field x="4"/>
  </colFields>
  <colItems count="7">
    <i>
      <x/>
    </i>
    <i>
      <x v="1"/>
    </i>
    <i>
      <x v="2"/>
    </i>
    <i>
      <x v="3"/>
    </i>
    <i>
      <x v="4"/>
    </i>
    <i>
      <x v="5"/>
    </i>
    <i t="grand">
      <x/>
    </i>
  </colItems>
  <dataFields count="1">
    <dataField name="Count of Previous scores grade" fld="4" subtotal="count" baseField="0" baseItem="0"/>
  </dataFields>
  <chartFormats count="19">
    <chartFormat chart="4" format="60" series="1">
      <pivotArea type="data" outline="0" fieldPosition="0">
        <references count="1">
          <reference field="4294967294" count="1" selected="0">
            <x v="0"/>
          </reference>
        </references>
      </pivotArea>
    </chartFormat>
    <chartFormat chart="4" format="61" series="1">
      <pivotArea type="data" outline="0" fieldPosition="0">
        <references count="2">
          <reference field="4294967294" count="1" selected="0">
            <x v="0"/>
          </reference>
          <reference field="4" count="1" selected="0">
            <x v="1"/>
          </reference>
        </references>
      </pivotArea>
    </chartFormat>
    <chartFormat chart="4" format="62" series="1">
      <pivotArea type="data" outline="0" fieldPosition="0">
        <references count="2">
          <reference field="4294967294" count="1" selected="0">
            <x v="0"/>
          </reference>
          <reference field="4" count="1" selected="0">
            <x v="2"/>
          </reference>
        </references>
      </pivotArea>
    </chartFormat>
    <chartFormat chart="4" format="63" series="1">
      <pivotArea type="data" outline="0" fieldPosition="0">
        <references count="2">
          <reference field="4294967294" count="1" selected="0">
            <x v="0"/>
          </reference>
          <reference field="4" count="1" selected="0">
            <x v="3"/>
          </reference>
        </references>
      </pivotArea>
    </chartFormat>
    <chartFormat chart="4" format="64" series="1">
      <pivotArea type="data" outline="0" fieldPosition="0">
        <references count="2">
          <reference field="4294967294" count="1" selected="0">
            <x v="0"/>
          </reference>
          <reference field="4" count="1" selected="0">
            <x v="4"/>
          </reference>
        </references>
      </pivotArea>
    </chartFormat>
    <chartFormat chart="4" format="65" series="1">
      <pivotArea type="data" outline="0" fieldPosition="0">
        <references count="2">
          <reference field="4294967294" count="1" selected="0">
            <x v="0"/>
          </reference>
          <reference field="4" count="1" selected="0">
            <x v="5"/>
          </reference>
        </references>
      </pivotArea>
    </chartFormat>
    <chartFormat chart="4" format="66" series="1">
      <pivotArea type="data" outline="0" fieldPosition="0">
        <references count="2">
          <reference field="4294967294" count="1" selected="0">
            <x v="0"/>
          </reference>
          <reference field="4" count="1" selected="0">
            <x v="0"/>
          </reference>
        </references>
      </pivotArea>
    </chartFormat>
    <chartFormat chart="7" format="67" series="1">
      <pivotArea type="data" outline="0" fieldPosition="0">
        <references count="2">
          <reference field="4294967294" count="1" selected="0">
            <x v="0"/>
          </reference>
          <reference field="4" count="1" selected="0">
            <x v="0"/>
          </reference>
        </references>
      </pivotArea>
    </chartFormat>
    <chartFormat chart="7" format="68" series="1">
      <pivotArea type="data" outline="0" fieldPosition="0">
        <references count="2">
          <reference field="4294967294" count="1" selected="0">
            <x v="0"/>
          </reference>
          <reference field="4" count="1" selected="0">
            <x v="1"/>
          </reference>
        </references>
      </pivotArea>
    </chartFormat>
    <chartFormat chart="7" format="69" series="1">
      <pivotArea type="data" outline="0" fieldPosition="0">
        <references count="2">
          <reference field="4294967294" count="1" selected="0">
            <x v="0"/>
          </reference>
          <reference field="4" count="1" selected="0">
            <x v="2"/>
          </reference>
        </references>
      </pivotArea>
    </chartFormat>
    <chartFormat chart="7" format="70" series="1">
      <pivotArea type="data" outline="0" fieldPosition="0">
        <references count="2">
          <reference field="4294967294" count="1" selected="0">
            <x v="0"/>
          </reference>
          <reference field="4" count="1" selected="0">
            <x v="3"/>
          </reference>
        </references>
      </pivotArea>
    </chartFormat>
    <chartFormat chart="7" format="71" series="1">
      <pivotArea type="data" outline="0" fieldPosition="0">
        <references count="2">
          <reference field="4294967294" count="1" selected="0">
            <x v="0"/>
          </reference>
          <reference field="4" count="1" selected="0">
            <x v="4"/>
          </reference>
        </references>
      </pivotArea>
    </chartFormat>
    <chartFormat chart="7" format="72" series="1">
      <pivotArea type="data" outline="0" fieldPosition="0">
        <references count="2">
          <reference field="4294967294" count="1" selected="0">
            <x v="0"/>
          </reference>
          <reference field="4" count="1" selected="0">
            <x v="5"/>
          </reference>
        </references>
      </pivotArea>
    </chartFormat>
    <chartFormat chart="8" format="73" series="1">
      <pivotArea type="data" outline="0" fieldPosition="0">
        <references count="2">
          <reference field="4294967294" count="1" selected="0">
            <x v="0"/>
          </reference>
          <reference field="4" count="1" selected="0">
            <x v="0"/>
          </reference>
        </references>
      </pivotArea>
    </chartFormat>
    <chartFormat chart="8" format="74" series="1">
      <pivotArea type="data" outline="0" fieldPosition="0">
        <references count="2">
          <reference field="4294967294" count="1" selected="0">
            <x v="0"/>
          </reference>
          <reference field="4" count="1" selected="0">
            <x v="1"/>
          </reference>
        </references>
      </pivotArea>
    </chartFormat>
    <chartFormat chart="8" format="75" series="1">
      <pivotArea type="data" outline="0" fieldPosition="0">
        <references count="2">
          <reference field="4294967294" count="1" selected="0">
            <x v="0"/>
          </reference>
          <reference field="4" count="1" selected="0">
            <x v="2"/>
          </reference>
        </references>
      </pivotArea>
    </chartFormat>
    <chartFormat chart="8" format="76" series="1">
      <pivotArea type="data" outline="0" fieldPosition="0">
        <references count="2">
          <reference field="4294967294" count="1" selected="0">
            <x v="0"/>
          </reference>
          <reference field="4" count="1" selected="0">
            <x v="3"/>
          </reference>
        </references>
      </pivotArea>
    </chartFormat>
    <chartFormat chart="8" format="77" series="1">
      <pivotArea type="data" outline="0" fieldPosition="0">
        <references count="2">
          <reference field="4294967294" count="1" selected="0">
            <x v="0"/>
          </reference>
          <reference field="4" count="1" selected="0">
            <x v="4"/>
          </reference>
        </references>
      </pivotArea>
    </chartFormat>
    <chartFormat chart="8" format="78"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54" firstHeaderRow="1" firstDataRow="1" firstDataCol="1"/>
  <pivotFields count="8">
    <pivotField showAll="0" measureFilter="1"/>
    <pivotField showAll="0">
      <items count="97">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axis="axisRow" dataField="1" showAll="0">
      <items count="51">
        <item x="40"/>
        <item x="47"/>
        <item x="7"/>
        <item x="23"/>
        <item x="43"/>
        <item x="28"/>
        <item x="42"/>
        <item x="3"/>
        <item x="24"/>
        <item x="33"/>
        <item x="5"/>
        <item x="27"/>
        <item x="10"/>
        <item x="44"/>
        <item x="17"/>
        <item x="34"/>
        <item x="48"/>
        <item x="37"/>
        <item x="8"/>
        <item x="6"/>
        <item x="13"/>
        <item x="49"/>
        <item x="12"/>
        <item x="4"/>
        <item x="21"/>
        <item x="31"/>
        <item x="19"/>
        <item x="15"/>
        <item x="18"/>
        <item x="25"/>
        <item x="30"/>
        <item x="45"/>
        <item x="39"/>
        <item x="26"/>
        <item x="38"/>
        <item x="16"/>
        <item x="20"/>
        <item x="35"/>
        <item x="11"/>
        <item x="46"/>
        <item x="41"/>
        <item x="2"/>
        <item x="22"/>
        <item x="36"/>
        <item x="29"/>
        <item x="1"/>
        <item x="32"/>
        <item x="0"/>
        <item x="9"/>
        <item x="14"/>
        <item t="default"/>
      </items>
    </pivotField>
    <pivotField showAll="0">
      <items count="13">
        <item x="0"/>
        <item x="1"/>
        <item x="2"/>
        <item x="3"/>
        <item x="4"/>
        <item x="5"/>
        <item x="6"/>
        <item x="7"/>
        <item x="8"/>
        <item x="9"/>
        <item x="10"/>
        <item x="11"/>
        <item t="default"/>
      </items>
    </pivotField>
    <pivotField showAll="0"/>
    <pivotField showAll="0"/>
    <pivotField showAll="0">
      <items count="7">
        <item x="5"/>
        <item x="4"/>
        <item x="2"/>
        <item x="0"/>
        <item x="1"/>
        <item x="3"/>
        <item t="default"/>
      </items>
    </pivotField>
    <pivotField showAll="0"/>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Sleep hours" fld="2" subtotal="count" baseField="2" baseItem="0"/>
  </dataFields>
  <chartFormats count="1">
    <chartFormat chart="3" format="4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0" firstHeaderRow="1" firstDataRow="1" firstDataCol="1"/>
  <pivotFields count="8">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7">
        <item x="75"/>
        <item x="16"/>
        <item x="77"/>
        <item x="1"/>
        <item x="50"/>
        <item x="34"/>
        <item x="81"/>
        <item x="65"/>
        <item x="83"/>
        <item x="36"/>
        <item x="7"/>
        <item x="21"/>
        <item x="62"/>
        <item x="88"/>
        <item x="84"/>
        <item x="89"/>
        <item x="19"/>
        <item x="46"/>
        <item x="45"/>
        <item x="70"/>
        <item x="91"/>
        <item x="11"/>
        <item x="41"/>
        <item x="9"/>
        <item x="3"/>
        <item x="37"/>
        <item x="58"/>
        <item x="42"/>
        <item x="2"/>
        <item x="38"/>
        <item x="35"/>
        <item x="72"/>
        <item x="80"/>
        <item x="51"/>
        <item x="76"/>
        <item x="18"/>
        <item x="39"/>
        <item x="40"/>
        <item x="27"/>
        <item x="55"/>
        <item x="8"/>
        <item x="86"/>
        <item x="68"/>
        <item x="94"/>
        <item x="57"/>
        <item x="92"/>
        <item x="85"/>
        <item x="82"/>
        <item x="69"/>
        <item x="10"/>
        <item x="87"/>
        <item x="66"/>
        <item x="25"/>
        <item x="13"/>
        <item x="28"/>
        <item x="59"/>
        <item x="90"/>
        <item x="32"/>
        <item x="14"/>
        <item x="23"/>
        <item x="44"/>
        <item x="30"/>
        <item x="63"/>
        <item x="0"/>
        <item x="12"/>
        <item x="54"/>
        <item x="5"/>
        <item x="48"/>
        <item x="17"/>
        <item x="33"/>
        <item x="67"/>
        <item x="24"/>
        <item x="4"/>
        <item x="73"/>
        <item x="49"/>
        <item x="74"/>
        <item x="64"/>
        <item x="15"/>
        <item x="29"/>
        <item x="95"/>
        <item x="22"/>
        <item x="31"/>
        <item x="53"/>
        <item x="79"/>
        <item x="6"/>
        <item x="60"/>
        <item x="71"/>
        <item x="56"/>
        <item x="78"/>
        <item x="43"/>
        <item x="52"/>
        <item x="20"/>
        <item x="26"/>
        <item x="93"/>
        <item x="47"/>
        <item x="61"/>
        <item t="default"/>
      </items>
    </pivotField>
    <pivotField showAll="0">
      <items count="51">
        <item x="40"/>
        <item x="47"/>
        <item x="7"/>
        <item x="23"/>
        <item x="43"/>
        <item x="28"/>
        <item x="42"/>
        <item x="3"/>
        <item x="24"/>
        <item x="33"/>
        <item x="5"/>
        <item x="27"/>
        <item x="10"/>
        <item x="44"/>
        <item x="17"/>
        <item x="34"/>
        <item x="48"/>
        <item x="37"/>
        <item x="8"/>
        <item x="6"/>
        <item x="13"/>
        <item x="49"/>
        <item x="12"/>
        <item x="4"/>
        <item x="21"/>
        <item x="31"/>
        <item x="19"/>
        <item x="15"/>
        <item x="18"/>
        <item x="25"/>
        <item x="30"/>
        <item x="45"/>
        <item x="39"/>
        <item x="26"/>
        <item x="38"/>
        <item x="16"/>
        <item x="20"/>
        <item x="35"/>
        <item x="11"/>
        <item x="46"/>
        <item x="41"/>
        <item x="2"/>
        <item x="22"/>
        <item x="36"/>
        <item x="29"/>
        <item x="1"/>
        <item x="32"/>
        <item x="0"/>
        <item x="9"/>
        <item x="14"/>
        <item t="default"/>
      </items>
    </pivotField>
    <pivotField showAll="0">
      <items count="13">
        <item x="0"/>
        <item x="1"/>
        <item x="2"/>
        <item x="3"/>
        <item x="4"/>
        <item x="5"/>
        <item x="6"/>
        <item x="7"/>
        <item x="8"/>
        <item x="9"/>
        <item x="10"/>
        <item x="11"/>
        <item t="default"/>
      </items>
    </pivotField>
    <pivotField showAll="0"/>
    <pivotField showAll="0"/>
    <pivotField axis="axisRow" showAll="0">
      <items count="7">
        <item x="5"/>
        <item x="4"/>
        <item x="2"/>
        <item x="0"/>
        <item x="1"/>
        <item x="3"/>
        <item t="default"/>
      </items>
    </pivotField>
    <pivotField defaultSubtotal="0">
      <items count="139">
        <item x="18"/>
        <item x="7"/>
        <item x="111"/>
        <item x="129"/>
        <item x="65"/>
        <item x="103"/>
        <item x="61"/>
        <item x="114"/>
        <item x="124"/>
        <item x="131"/>
        <item x="39"/>
        <item x="91"/>
        <item x="132"/>
        <item x="119"/>
        <item x="90"/>
        <item x="64"/>
        <item x="89"/>
        <item x="9"/>
        <item x="1"/>
        <item x="98"/>
        <item x="41"/>
        <item x="69"/>
        <item x="96"/>
        <item x="26"/>
        <item x="105"/>
        <item x="49"/>
        <item x="58"/>
        <item x="78"/>
        <item x="116"/>
        <item x="133"/>
        <item x="81"/>
        <item x="137"/>
        <item x="76"/>
        <item x="82"/>
        <item x="47"/>
        <item x="15"/>
        <item x="25"/>
        <item x="80"/>
        <item x="56"/>
        <item x="10"/>
        <item x="68"/>
        <item x="21"/>
        <item x="118"/>
        <item x="99"/>
        <item x="109"/>
        <item x="24"/>
        <item x="122"/>
        <item x="0"/>
        <item x="40"/>
        <item x="46"/>
        <item x="48"/>
        <item x="71"/>
        <item x="126"/>
        <item x="44"/>
        <item x="12"/>
        <item x="87"/>
        <item x="86"/>
        <item x="43"/>
        <item x="42"/>
        <item x="33"/>
        <item x="77"/>
        <item x="62"/>
        <item x="72"/>
        <item x="88"/>
        <item x="106"/>
        <item x="55"/>
        <item x="117"/>
        <item x="63"/>
        <item x="120"/>
        <item x="135"/>
        <item x="3"/>
        <item x="14"/>
        <item x="38"/>
        <item x="51"/>
        <item x="29"/>
        <item x="95"/>
        <item x="8"/>
        <item x="94"/>
        <item x="37"/>
        <item x="11"/>
        <item x="53"/>
        <item x="113"/>
        <item x="17"/>
        <item x="5"/>
        <item x="2"/>
        <item x="22"/>
        <item x="84"/>
        <item x="20"/>
        <item x="28"/>
        <item x="16"/>
        <item x="60"/>
        <item x="83"/>
        <item x="52"/>
        <item x="85"/>
        <item x="27"/>
        <item x="79"/>
        <item x="138"/>
        <item x="6"/>
        <item x="74"/>
        <item x="31"/>
        <item x="54"/>
        <item x="35"/>
        <item x="128"/>
        <item x="104"/>
        <item x="23"/>
        <item x="102"/>
        <item x="130"/>
        <item x="59"/>
        <item x="93"/>
        <item x="36"/>
        <item x="70"/>
        <item x="4"/>
        <item x="136"/>
        <item x="121"/>
        <item x="108"/>
        <item x="100"/>
        <item x="13"/>
        <item x="45"/>
        <item x="30"/>
        <item x="67"/>
        <item x="123"/>
        <item x="92"/>
        <item x="115"/>
        <item x="32"/>
        <item x="97"/>
        <item x="110"/>
        <item x="101"/>
        <item x="34"/>
        <item x="127"/>
        <item x="125"/>
        <item x="107"/>
        <item x="112"/>
        <item x="19"/>
        <item x="50"/>
        <item x="134"/>
        <item x="66"/>
        <item x="57"/>
        <item x="73"/>
        <item x="75"/>
      </items>
    </pivotField>
  </pivotFields>
  <rowFields count="1">
    <field x="6"/>
  </rowFields>
  <rowItems count="7">
    <i>
      <x/>
    </i>
    <i>
      <x v="1"/>
    </i>
    <i>
      <x v="2"/>
    </i>
    <i>
      <x v="3"/>
    </i>
    <i>
      <x v="4"/>
    </i>
    <i>
      <x v="5"/>
    </i>
    <i t="grand">
      <x/>
    </i>
  </rowItems>
  <colItems count="1">
    <i/>
  </colItems>
  <dataFields count="1">
    <dataField name="Count of Student id" fld="0" subtotal="count" showDataAs="percentOfTotal" baseField="0" baseItem="0" numFmtId="164"/>
  </dataFields>
  <chartFormats count="20">
    <chartFormat chart="4" format="63" series="1">
      <pivotArea type="data" outline="0" fieldPosition="0">
        <references count="1">
          <reference field="6" count="1" selected="0">
            <x v="1"/>
          </reference>
        </references>
      </pivotArea>
    </chartFormat>
    <chartFormat chart="4" format="64" series="1">
      <pivotArea type="data" outline="0" fieldPosition="0">
        <references count="1">
          <reference field="6" count="1" selected="0">
            <x v="2"/>
          </reference>
        </references>
      </pivotArea>
    </chartFormat>
    <chartFormat chart="4" format="65" series="1">
      <pivotArea type="data" outline="0" fieldPosition="0">
        <references count="1">
          <reference field="6" count="1" selected="0">
            <x v="3"/>
          </reference>
        </references>
      </pivotArea>
    </chartFormat>
    <chartFormat chart="4" format="66" series="1">
      <pivotArea type="data" outline="0" fieldPosition="0">
        <references count="1">
          <reference field="6" count="1" selected="0">
            <x v="4"/>
          </reference>
        </references>
      </pivotArea>
    </chartFormat>
    <chartFormat chart="4" format="67" series="1">
      <pivotArea type="data" outline="0" fieldPosition="0">
        <references count="1">
          <reference field="6" count="1" selected="0">
            <x v="5"/>
          </reference>
        </references>
      </pivotArea>
    </chartFormat>
    <chartFormat chart="4" format="68" series="1">
      <pivotArea type="data" outline="0" fieldPosition="0">
        <references count="1">
          <reference field="6" count="1" selected="0">
            <x v="0"/>
          </reference>
        </references>
      </pivotArea>
    </chartFormat>
    <chartFormat chart="4" format="69" series="1">
      <pivotArea type="data" outline="0" fieldPosition="0">
        <references count="1">
          <reference field="4294967294" count="1" selected="0">
            <x v="0"/>
          </reference>
        </references>
      </pivotArea>
    </chartFormat>
    <chartFormat chart="4" format="70">
      <pivotArea type="data" outline="0" fieldPosition="0">
        <references count="2">
          <reference field="4294967294" count="1" selected="0">
            <x v="0"/>
          </reference>
          <reference field="6" count="1" selected="0">
            <x v="0"/>
          </reference>
        </references>
      </pivotArea>
    </chartFormat>
    <chartFormat chart="4" format="71">
      <pivotArea type="data" outline="0" fieldPosition="0">
        <references count="2">
          <reference field="4294967294" count="1" selected="0">
            <x v="0"/>
          </reference>
          <reference field="6" count="1" selected="0">
            <x v="1"/>
          </reference>
        </references>
      </pivotArea>
    </chartFormat>
    <chartFormat chart="4" format="72">
      <pivotArea type="data" outline="0" fieldPosition="0">
        <references count="2">
          <reference field="4294967294" count="1" selected="0">
            <x v="0"/>
          </reference>
          <reference field="6" count="1" selected="0">
            <x v="2"/>
          </reference>
        </references>
      </pivotArea>
    </chartFormat>
    <chartFormat chart="4" format="73">
      <pivotArea type="data" outline="0" fieldPosition="0">
        <references count="2">
          <reference field="4294967294" count="1" selected="0">
            <x v="0"/>
          </reference>
          <reference field="6" count="1" selected="0">
            <x v="3"/>
          </reference>
        </references>
      </pivotArea>
    </chartFormat>
    <chartFormat chart="4" format="74">
      <pivotArea type="data" outline="0" fieldPosition="0">
        <references count="2">
          <reference field="4294967294" count="1" selected="0">
            <x v="0"/>
          </reference>
          <reference field="6" count="1" selected="0">
            <x v="4"/>
          </reference>
        </references>
      </pivotArea>
    </chartFormat>
    <chartFormat chart="4" format="75">
      <pivotArea type="data" outline="0" fieldPosition="0">
        <references count="2">
          <reference field="4294967294" count="1" selected="0">
            <x v="0"/>
          </reference>
          <reference field="6" count="1" selected="0">
            <x v="5"/>
          </reference>
        </references>
      </pivotArea>
    </chartFormat>
    <chartFormat chart="6" format="83" series="1">
      <pivotArea type="data" outline="0" fieldPosition="0">
        <references count="1">
          <reference field="4294967294" count="1" selected="0">
            <x v="0"/>
          </reference>
        </references>
      </pivotArea>
    </chartFormat>
    <chartFormat chart="6" format="84">
      <pivotArea type="data" outline="0" fieldPosition="0">
        <references count="2">
          <reference field="4294967294" count="1" selected="0">
            <x v="0"/>
          </reference>
          <reference field="6" count="1" selected="0">
            <x v="0"/>
          </reference>
        </references>
      </pivotArea>
    </chartFormat>
    <chartFormat chart="6" format="85">
      <pivotArea type="data" outline="0" fieldPosition="0">
        <references count="2">
          <reference field="4294967294" count="1" selected="0">
            <x v="0"/>
          </reference>
          <reference field="6" count="1" selected="0">
            <x v="1"/>
          </reference>
        </references>
      </pivotArea>
    </chartFormat>
    <chartFormat chart="6" format="86">
      <pivotArea type="data" outline="0" fieldPosition="0">
        <references count="2">
          <reference field="4294967294" count="1" selected="0">
            <x v="0"/>
          </reference>
          <reference field="6" count="1" selected="0">
            <x v="2"/>
          </reference>
        </references>
      </pivotArea>
    </chartFormat>
    <chartFormat chart="6" format="87">
      <pivotArea type="data" outline="0" fieldPosition="0">
        <references count="2">
          <reference field="4294967294" count="1" selected="0">
            <x v="0"/>
          </reference>
          <reference field="6" count="1" selected="0">
            <x v="3"/>
          </reference>
        </references>
      </pivotArea>
    </chartFormat>
    <chartFormat chart="6" format="88">
      <pivotArea type="data" outline="0" fieldPosition="0">
        <references count="2">
          <reference field="4294967294" count="1" selected="0">
            <x v="0"/>
          </reference>
          <reference field="6" count="1" selected="0">
            <x v="4"/>
          </reference>
        </references>
      </pivotArea>
    </chartFormat>
    <chartFormat chart="6" format="89">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_studied" xr10:uid="{00000000-0013-0000-FFFF-FFFF02000000}" sourceName="Hours studied">
  <pivotTables>
    <pivotTable tabId="4" name="PivotTable1"/>
    <pivotTable tabId="7" name="PivotTable1"/>
    <pivotTable tabId="9" name="PivotTable1"/>
    <pivotTable tabId="8" name="PivotTable1"/>
    <pivotTable tabId="10" name="PivotTable1"/>
    <pivotTable tabId="6" name="PivotTable1"/>
    <pivotTable tabId="5" name="PivotTable1"/>
  </pivotTables>
  <data>
    <tabular pivotCacheId="1888280104">
      <items count="96">
        <i x="75" s="1"/>
        <i x="16" s="1"/>
        <i x="77" s="1"/>
        <i x="1" s="1"/>
        <i x="50" s="1"/>
        <i x="34" s="1"/>
        <i x="81" s="1"/>
        <i x="65" s="1"/>
        <i x="83" s="1"/>
        <i x="36" s="1"/>
        <i x="7" s="1"/>
        <i x="21" s="1"/>
        <i x="62" s="1"/>
        <i x="88" s="1"/>
        <i x="84" s="1"/>
        <i x="89" s="1"/>
        <i x="19" s="1"/>
        <i x="46" s="1"/>
        <i x="45" s="1"/>
        <i x="70" s="1"/>
        <i x="91" s="1"/>
        <i x="11" s="1"/>
        <i x="41" s="1"/>
        <i x="9" s="1"/>
        <i x="3" s="1"/>
        <i x="37" s="1"/>
        <i x="58" s="1"/>
        <i x="42" s="1"/>
        <i x="2" s="1"/>
        <i x="38" s="1"/>
        <i x="35" s="1"/>
        <i x="72" s="1"/>
        <i x="80" s="1"/>
        <i x="51" s="1"/>
        <i x="76" s="1"/>
        <i x="18" s="1"/>
        <i x="39" s="1"/>
        <i x="40" s="1"/>
        <i x="27" s="1"/>
        <i x="55" s="1"/>
        <i x="8" s="1"/>
        <i x="86" s="1"/>
        <i x="68" s="1"/>
        <i x="94" s="1"/>
        <i x="57" s="1"/>
        <i x="92" s="1"/>
        <i x="85" s="1"/>
        <i x="82" s="1"/>
        <i x="69" s="1"/>
        <i x="10" s="1"/>
        <i x="87" s="1"/>
        <i x="66" s="1"/>
        <i x="25" s="1"/>
        <i x="13" s="1"/>
        <i x="28" s="1"/>
        <i x="59" s="1"/>
        <i x="90" s="1"/>
        <i x="32" s="1"/>
        <i x="14" s="1"/>
        <i x="23" s="1"/>
        <i x="44" s="1"/>
        <i x="30" s="1"/>
        <i x="63" s="1"/>
        <i x="0" s="1"/>
        <i x="12" s="1"/>
        <i x="54" s="1"/>
        <i x="5" s="1"/>
        <i x="48" s="1"/>
        <i x="17" s="1"/>
        <i x="33" s="1"/>
        <i x="67" s="1"/>
        <i x="24" s="1"/>
        <i x="4" s="1"/>
        <i x="73" s="1"/>
        <i x="49" s="1"/>
        <i x="74" s="1"/>
        <i x="64" s="1"/>
        <i x="15" s="1"/>
        <i x="29" s="1"/>
        <i x="95" s="1"/>
        <i x="22" s="1"/>
        <i x="31" s="1"/>
        <i x="53" s="1"/>
        <i x="79" s="1"/>
        <i x="6" s="1"/>
        <i x="60" s="1"/>
        <i x="71" s="1"/>
        <i x="56" s="1"/>
        <i x="78" s="1"/>
        <i x="43" s="1"/>
        <i x="52" s="1"/>
        <i x="20" s="1"/>
        <i x="26" s="1"/>
        <i x="93" s="1"/>
        <i x="47" s="1"/>
        <i x="6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percent" xr10:uid="{00000000-0013-0000-FFFF-FFFF03000000}" sourceName="Attendance percent">
  <pivotTables>
    <pivotTable tabId="4" name="PivotTable1"/>
    <pivotTable tabId="7" name="PivotTable1"/>
    <pivotTable tabId="9" name="PivotTable1"/>
    <pivotTable tabId="8" name="PivotTable1"/>
    <pivotTable tabId="10" name="PivotTable1"/>
    <pivotTable tabId="6" name="PivotTable1"/>
    <pivotTable tabId="5" name="PivotTable1"/>
  </pivotTables>
  <data>
    <tabular pivotCacheId="1888280104">
      <items count="12">
        <i x="6" s="1"/>
        <i x="7" s="1"/>
        <i x="8" s="1"/>
        <i x="9" s="1"/>
        <i x="10" s="1"/>
        <i x="0" s="1" nd="1"/>
        <i x="11" s="1" nd="1"/>
        <i x="1" s="1" nd="1"/>
        <i x="2" s="1" nd="1"/>
        <i x="3" s="1" nd="1"/>
        <i x="4"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am_grade" xr10:uid="{00000000-0013-0000-FFFF-FFFF04000000}" sourceName="Exam grade">
  <pivotTables>
    <pivotTable tabId="4" name="PivotTable1"/>
    <pivotTable tabId="7" name="PivotTable1"/>
    <pivotTable tabId="9" name="PivotTable1"/>
    <pivotTable tabId="8" name="PivotTable1"/>
    <pivotTable tabId="10" name="PivotTable1"/>
    <pivotTable tabId="6" name="PivotTable1"/>
    <pivotTable tabId="5" name="PivotTable1"/>
  </pivotTables>
  <data>
    <tabular pivotCacheId="1888280104">
      <items count="6">
        <i x="5" s="1"/>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s studied" xr10:uid="{00000000-0014-0000-FFFF-FFFF02000000}" cache="Slicer_Hours_studied" caption="Hours studied" showCaption="0" style="Exam_score 2" rowHeight="241300"/>
  <slicer name="Attendance percent" xr10:uid="{00000000-0014-0000-FFFF-FFFF03000000}" cache="Slicer_Attendance_percent" caption="Attendance percent" showCaption="0" style="Exam_score 2" rowHeight="241300"/>
  <slicer name="Exam grade" xr10:uid="{00000000-0014-0000-FFFF-FFFF04000000}" cache="Slicer_Exam_grade" caption="Exam grade" columnCount="6" showCaption="0" style="Exam_sco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Exam_scores" displayName="Exam_scores" ref="A1:H201" totalsRowShown="0" headerRowDxfId="2">
  <autoFilter ref="A1:H201" xr:uid="{00000000-0009-0000-0100-000002000000}"/>
  <tableColumns count="8">
    <tableColumn id="1" xr3:uid="{00000000-0010-0000-0000-000001000000}" name="Student id"/>
    <tableColumn id="2" xr3:uid="{00000000-0010-0000-0000-000002000000}" name="Hours studied"/>
    <tableColumn id="3" xr3:uid="{00000000-0010-0000-0000-000003000000}" name="Sleep hours"/>
    <tableColumn id="4" xr3:uid="{00000000-0010-0000-0000-000004000000}" name="Attendance percent"/>
    <tableColumn id="8" xr3:uid="{00000000-0010-0000-0000-000008000000}" name="Previous scores grade" dataDxfId="1">
      <calculatedColumnFormula array="1">_xlfn.IFS(Exam_scores[[#This Row],[Previous scores]]&lt;=40,"F",Exam_scores[[#This Row],[Previous scores]]&lt;=45,"E",Exam_scores[[#This Row],[Previous scores]]&lt;=49,"D",Exam_scores[[#This Row],[Previous scores]]&lt;=59,"C",Exam_scores[[#This Row],[Previous scores]]&lt;=80,"B",Exam_scores[[#This Row],[Previous scores]]&gt;=81,"A")</calculatedColumnFormula>
    </tableColumn>
    <tableColumn id="5" xr3:uid="{00000000-0010-0000-0000-000005000000}" name="Previous scores"/>
    <tableColumn id="7" xr3:uid="{00000000-0010-0000-0000-000007000000}" name="Exam grade" dataDxfId="0">
      <calculatedColumnFormula array="1">_xlfn.IFS(Exam_scores[[#This Row],[Exam score]]&lt;=20, "F",Exam_scores[[#This Row],[Exam score]]&lt;=30,"E",Exam_scores[[#This Row],[Exam score]]&lt;=40,"D",Exam_scores[[#This Row],[Exam score]]&lt;=45,"C",Exam_scores[[#This Row],[Exam score]]&lt;=49,"B",Exam_scores[[#This Row],[Exam score]]&gt;=50,"A")</calculatedColumnFormula>
    </tableColumn>
    <tableColumn id="6" xr3:uid="{00000000-0010-0000-0000-000006000000}" name="Exam score"/>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9"/>
  <sheetViews>
    <sheetView workbookViewId="0">
      <selection activeCell="A6" sqref="A6:B13"/>
    </sheetView>
  </sheetViews>
  <sheetFormatPr defaultRowHeight="14.5" x14ac:dyDescent="0.35"/>
  <cols>
    <col min="1" max="1" width="12.36328125" bestFit="1" customWidth="1"/>
    <col min="2" max="2" width="16.6328125" bestFit="1" customWidth="1"/>
  </cols>
  <sheetData>
    <row r="3" spans="1:2" x14ac:dyDescent="0.35">
      <c r="A3" s="2" t="s">
        <v>206</v>
      </c>
      <c r="B3" t="s">
        <v>208</v>
      </c>
    </row>
    <row r="4" spans="1:2" x14ac:dyDescent="0.35">
      <c r="A4" s="3" t="s">
        <v>86</v>
      </c>
      <c r="B4" s="4">
        <v>51.3</v>
      </c>
    </row>
    <row r="5" spans="1:2" x14ac:dyDescent="0.35">
      <c r="A5" s="3" t="s">
        <v>83</v>
      </c>
      <c r="B5" s="4">
        <v>48.9</v>
      </c>
    </row>
    <row r="6" spans="1:2" x14ac:dyDescent="0.35">
      <c r="A6" s="3" t="s">
        <v>60</v>
      </c>
      <c r="B6" s="4">
        <v>48.6</v>
      </c>
    </row>
    <row r="7" spans="1:2" x14ac:dyDescent="0.35">
      <c r="A7" s="3" t="s">
        <v>120</v>
      </c>
      <c r="B7" s="4">
        <v>47.9</v>
      </c>
    </row>
    <row r="8" spans="1:2" x14ac:dyDescent="0.35">
      <c r="A8" s="3" t="s">
        <v>71</v>
      </c>
      <c r="B8" s="4">
        <v>47.9</v>
      </c>
    </row>
    <row r="9" spans="1:2" x14ac:dyDescent="0.35">
      <c r="A9" s="3" t="s">
        <v>207</v>
      </c>
      <c r="B9" s="4">
        <v>244.6</v>
      </c>
    </row>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9"/>
  <sheetViews>
    <sheetView workbookViewId="0">
      <selection activeCell="A12" sqref="A4:B12"/>
    </sheetView>
  </sheetViews>
  <sheetFormatPr defaultRowHeight="14.5" x14ac:dyDescent="0.35"/>
  <cols>
    <col min="1" max="1" width="12.36328125" bestFit="1" customWidth="1"/>
    <col min="2" max="2" width="16.6328125" bestFit="1" customWidth="1"/>
  </cols>
  <sheetData>
    <row r="3" spans="1:2" x14ac:dyDescent="0.35">
      <c r="A3" s="2" t="s">
        <v>206</v>
      </c>
      <c r="B3" t="s">
        <v>208</v>
      </c>
    </row>
    <row r="4" spans="1:2" x14ac:dyDescent="0.35">
      <c r="A4" s="3" t="s">
        <v>70</v>
      </c>
      <c r="B4" s="4">
        <v>20.8</v>
      </c>
    </row>
    <row r="5" spans="1:2" x14ac:dyDescent="0.35">
      <c r="A5" s="3" t="s">
        <v>183</v>
      </c>
      <c r="B5" s="4">
        <v>19.399999999999999</v>
      </c>
    </row>
    <row r="6" spans="1:2" x14ac:dyDescent="0.35">
      <c r="A6" s="3" t="s">
        <v>142</v>
      </c>
      <c r="B6" s="4">
        <v>19</v>
      </c>
    </row>
    <row r="7" spans="1:2" x14ac:dyDescent="0.35">
      <c r="A7" s="3" t="s">
        <v>7</v>
      </c>
      <c r="B7" s="4">
        <v>18.3</v>
      </c>
    </row>
    <row r="8" spans="1:2" x14ac:dyDescent="0.35">
      <c r="A8" s="3" t="s">
        <v>19</v>
      </c>
      <c r="B8" s="4">
        <v>17.100000000000001</v>
      </c>
    </row>
    <row r="9" spans="1:2" x14ac:dyDescent="0.35">
      <c r="A9" s="3" t="s">
        <v>207</v>
      </c>
      <c r="B9" s="4">
        <v>94.6</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4"/>
  <sheetViews>
    <sheetView workbookViewId="0">
      <selection activeCell="B4" sqref="B4"/>
    </sheetView>
  </sheetViews>
  <sheetFormatPr defaultRowHeight="14.5" x14ac:dyDescent="0.35"/>
  <cols>
    <col min="1" max="1" width="12.36328125" bestFit="1" customWidth="1"/>
    <col min="2" max="2" width="22.1796875" bestFit="1" customWidth="1"/>
  </cols>
  <sheetData>
    <row r="3" spans="1:2" x14ac:dyDescent="0.35">
      <c r="A3" s="2" t="s">
        <v>206</v>
      </c>
      <c r="B3" t="s">
        <v>209</v>
      </c>
    </row>
    <row r="4" spans="1:2" x14ac:dyDescent="0.35">
      <c r="A4" s="3" t="s">
        <v>86</v>
      </c>
      <c r="B4" s="4">
        <v>12</v>
      </c>
    </row>
    <row r="5" spans="1:2" x14ac:dyDescent="0.35">
      <c r="A5" s="3" t="s">
        <v>198</v>
      </c>
      <c r="B5" s="4">
        <v>12</v>
      </c>
    </row>
    <row r="6" spans="1:2" x14ac:dyDescent="0.35">
      <c r="A6" s="3" t="s">
        <v>96</v>
      </c>
      <c r="B6" s="4">
        <v>12</v>
      </c>
    </row>
    <row r="7" spans="1:2" x14ac:dyDescent="0.35">
      <c r="A7" s="3" t="s">
        <v>150</v>
      </c>
      <c r="B7" s="4">
        <v>11.9</v>
      </c>
    </row>
    <row r="8" spans="1:2" x14ac:dyDescent="0.35">
      <c r="A8" s="3" t="s">
        <v>60</v>
      </c>
      <c r="B8" s="4">
        <v>11.9</v>
      </c>
    </row>
    <row r="9" spans="1:2" x14ac:dyDescent="0.35">
      <c r="A9" s="3" t="s">
        <v>182</v>
      </c>
      <c r="B9" s="4">
        <v>11.8</v>
      </c>
    </row>
    <row r="10" spans="1:2" x14ac:dyDescent="0.35">
      <c r="A10" s="3" t="s">
        <v>33</v>
      </c>
      <c r="B10" s="4">
        <v>11.7</v>
      </c>
    </row>
    <row r="11" spans="1:2" x14ac:dyDescent="0.35">
      <c r="A11" s="3" t="s">
        <v>98</v>
      </c>
      <c r="B11" s="4">
        <v>11.7</v>
      </c>
    </row>
    <row r="12" spans="1:2" x14ac:dyDescent="0.35">
      <c r="A12" s="3" t="s">
        <v>24</v>
      </c>
      <c r="B12" s="4">
        <v>11.5</v>
      </c>
    </row>
    <row r="13" spans="1:2" x14ac:dyDescent="0.35">
      <c r="A13" s="3" t="s">
        <v>109</v>
      </c>
      <c r="B13" s="4">
        <v>11.5</v>
      </c>
    </row>
    <row r="14" spans="1:2" x14ac:dyDescent="0.35">
      <c r="A14" s="3" t="s">
        <v>207</v>
      </c>
      <c r="B14" s="4">
        <v>11.8</v>
      </c>
    </row>
  </sheetData>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H10"/>
  <sheetViews>
    <sheetView workbookViewId="0">
      <selection activeCell="A4" sqref="A4"/>
    </sheetView>
  </sheetViews>
  <sheetFormatPr defaultRowHeight="14.5" x14ac:dyDescent="0.35"/>
  <cols>
    <col min="1" max="1" width="18.453125" bestFit="1" customWidth="1"/>
    <col min="2" max="2" width="15.26953125" bestFit="1" customWidth="1"/>
    <col min="3" max="4" width="2.81640625" bestFit="1" customWidth="1"/>
    <col min="5" max="5" width="3.81640625" bestFit="1" customWidth="1"/>
    <col min="6" max="6" width="2.81640625" bestFit="1" customWidth="1"/>
    <col min="7" max="7" width="1.81640625" bestFit="1" customWidth="1"/>
    <col min="8" max="8" width="10.7265625" bestFit="1" customWidth="1"/>
  </cols>
  <sheetData>
    <row r="3" spans="1:8" x14ac:dyDescent="0.35">
      <c r="A3" s="2" t="s">
        <v>216</v>
      </c>
      <c r="B3" s="2" t="s">
        <v>217</v>
      </c>
    </row>
    <row r="4" spans="1:8" x14ac:dyDescent="0.35">
      <c r="A4" s="2" t="s">
        <v>206</v>
      </c>
      <c r="B4" t="s">
        <v>218</v>
      </c>
      <c r="C4" t="s">
        <v>219</v>
      </c>
      <c r="D4" t="s">
        <v>220</v>
      </c>
      <c r="E4" t="s">
        <v>221</v>
      </c>
      <c r="F4" t="s">
        <v>222</v>
      </c>
      <c r="G4" t="s">
        <v>223</v>
      </c>
      <c r="H4" t="s">
        <v>207</v>
      </c>
    </row>
    <row r="5" spans="1:8" x14ac:dyDescent="0.35">
      <c r="A5" s="3" t="s">
        <v>210</v>
      </c>
      <c r="B5" s="4"/>
      <c r="C5" s="4">
        <v>1</v>
      </c>
      <c r="D5" s="4">
        <v>1</v>
      </c>
      <c r="E5" s="4">
        <v>20</v>
      </c>
      <c r="F5" s="4">
        <v>12</v>
      </c>
      <c r="G5" s="4">
        <v>3</v>
      </c>
      <c r="H5" s="4">
        <v>37</v>
      </c>
    </row>
    <row r="6" spans="1:8" x14ac:dyDescent="0.35">
      <c r="A6" s="3" t="s">
        <v>211</v>
      </c>
      <c r="B6" s="4"/>
      <c r="C6" s="4">
        <v>1</v>
      </c>
      <c r="D6" s="4">
        <v>7</v>
      </c>
      <c r="E6" s="4">
        <v>15</v>
      </c>
      <c r="F6" s="4">
        <v>18</v>
      </c>
      <c r="G6" s="4"/>
      <c r="H6" s="4">
        <v>41</v>
      </c>
    </row>
    <row r="7" spans="1:8" x14ac:dyDescent="0.35">
      <c r="A7" s="3" t="s">
        <v>212</v>
      </c>
      <c r="B7" s="4">
        <v>1</v>
      </c>
      <c r="C7" s="4">
        <v>3</v>
      </c>
      <c r="D7" s="4">
        <v>2</v>
      </c>
      <c r="E7" s="4">
        <v>24</v>
      </c>
      <c r="F7" s="4">
        <v>5</v>
      </c>
      <c r="G7" s="4">
        <v>1</v>
      </c>
      <c r="H7" s="4">
        <v>36</v>
      </c>
    </row>
    <row r="8" spans="1:8" x14ac:dyDescent="0.35">
      <c r="A8" s="3" t="s">
        <v>213</v>
      </c>
      <c r="B8" s="4"/>
      <c r="C8" s="4">
        <v>3</v>
      </c>
      <c r="D8" s="4">
        <v>8</v>
      </c>
      <c r="E8" s="4">
        <v>31</v>
      </c>
      <c r="F8" s="4">
        <v>9</v>
      </c>
      <c r="G8" s="4"/>
      <c r="H8" s="4">
        <v>51</v>
      </c>
    </row>
    <row r="9" spans="1:8" x14ac:dyDescent="0.35">
      <c r="A9" s="3" t="s">
        <v>214</v>
      </c>
      <c r="B9" s="4"/>
      <c r="C9" s="4">
        <v>3</v>
      </c>
      <c r="D9" s="4">
        <v>8</v>
      </c>
      <c r="E9" s="4">
        <v>14</v>
      </c>
      <c r="F9" s="4">
        <v>10</v>
      </c>
      <c r="G9" s="4"/>
      <c r="H9" s="4">
        <v>35</v>
      </c>
    </row>
    <row r="10" spans="1:8" x14ac:dyDescent="0.35">
      <c r="A10" s="3" t="s">
        <v>207</v>
      </c>
      <c r="B10" s="4">
        <v>1</v>
      </c>
      <c r="C10" s="4">
        <v>11</v>
      </c>
      <c r="D10" s="4">
        <v>26</v>
      </c>
      <c r="E10" s="4">
        <v>104</v>
      </c>
      <c r="F10" s="4">
        <v>54</v>
      </c>
      <c r="G10" s="4">
        <v>4</v>
      </c>
      <c r="H10" s="4">
        <v>200</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H10"/>
  <sheetViews>
    <sheetView workbookViewId="0">
      <selection activeCell="B19" sqref="B19"/>
    </sheetView>
  </sheetViews>
  <sheetFormatPr defaultRowHeight="14.5" x14ac:dyDescent="0.35"/>
  <cols>
    <col min="1" max="1" width="27" bestFit="1" customWidth="1"/>
    <col min="2" max="2" width="15.26953125" bestFit="1" customWidth="1"/>
    <col min="3" max="6" width="2.81640625" bestFit="1" customWidth="1"/>
    <col min="7" max="7" width="1.81640625" bestFit="1" customWidth="1"/>
    <col min="8" max="8" width="10.7265625" bestFit="1" customWidth="1"/>
  </cols>
  <sheetData>
    <row r="3" spans="1:8" x14ac:dyDescent="0.35">
      <c r="A3" s="2" t="s">
        <v>226</v>
      </c>
      <c r="B3" s="2" t="s">
        <v>217</v>
      </c>
    </row>
    <row r="4" spans="1:8" x14ac:dyDescent="0.35">
      <c r="A4" s="2" t="s">
        <v>206</v>
      </c>
      <c r="B4" t="s">
        <v>218</v>
      </c>
      <c r="C4" t="s">
        <v>219</v>
      </c>
      <c r="D4" t="s">
        <v>220</v>
      </c>
      <c r="E4" t="s">
        <v>221</v>
      </c>
      <c r="F4" t="s">
        <v>222</v>
      </c>
      <c r="G4" t="s">
        <v>223</v>
      </c>
      <c r="H4" t="s">
        <v>207</v>
      </c>
    </row>
    <row r="5" spans="1:8" x14ac:dyDescent="0.35">
      <c r="A5" s="3" t="s">
        <v>210</v>
      </c>
      <c r="B5" s="4">
        <v>6</v>
      </c>
      <c r="C5" s="4">
        <v>15</v>
      </c>
      <c r="D5" s="4">
        <v>9</v>
      </c>
      <c r="E5" s="4">
        <v>1</v>
      </c>
      <c r="F5" s="4">
        <v>6</v>
      </c>
      <c r="G5" s="4"/>
      <c r="H5" s="4">
        <v>37</v>
      </c>
    </row>
    <row r="6" spans="1:8" x14ac:dyDescent="0.35">
      <c r="A6" s="3" t="s">
        <v>211</v>
      </c>
      <c r="B6" s="4">
        <v>7</v>
      </c>
      <c r="C6" s="4">
        <v>16</v>
      </c>
      <c r="D6" s="4">
        <v>7</v>
      </c>
      <c r="E6" s="4">
        <v>8</v>
      </c>
      <c r="F6" s="4">
        <v>3</v>
      </c>
      <c r="G6" s="4"/>
      <c r="H6" s="4">
        <v>41</v>
      </c>
    </row>
    <row r="7" spans="1:8" x14ac:dyDescent="0.35">
      <c r="A7" s="3" t="s">
        <v>212</v>
      </c>
      <c r="B7" s="4">
        <v>10</v>
      </c>
      <c r="C7" s="4">
        <v>12</v>
      </c>
      <c r="D7" s="4">
        <v>11</v>
      </c>
      <c r="E7" s="4"/>
      <c r="F7" s="4">
        <v>2</v>
      </c>
      <c r="G7" s="4">
        <v>1</v>
      </c>
      <c r="H7" s="4">
        <v>36</v>
      </c>
    </row>
    <row r="8" spans="1:8" x14ac:dyDescent="0.35">
      <c r="A8" s="3" t="s">
        <v>213</v>
      </c>
      <c r="B8" s="4">
        <v>15</v>
      </c>
      <c r="C8" s="4">
        <v>16</v>
      </c>
      <c r="D8" s="4">
        <v>15</v>
      </c>
      <c r="E8" s="4">
        <v>1</v>
      </c>
      <c r="F8" s="4">
        <v>3</v>
      </c>
      <c r="G8" s="4">
        <v>1</v>
      </c>
      <c r="H8" s="4">
        <v>51</v>
      </c>
    </row>
    <row r="9" spans="1:8" x14ac:dyDescent="0.35">
      <c r="A9" s="3" t="s">
        <v>214</v>
      </c>
      <c r="B9" s="4">
        <v>10</v>
      </c>
      <c r="C9" s="4">
        <v>9</v>
      </c>
      <c r="D9" s="4">
        <v>8</v>
      </c>
      <c r="E9" s="4">
        <v>4</v>
      </c>
      <c r="F9" s="4">
        <v>3</v>
      </c>
      <c r="G9" s="4">
        <v>1</v>
      </c>
      <c r="H9" s="4">
        <v>35</v>
      </c>
    </row>
    <row r="10" spans="1:8" x14ac:dyDescent="0.35">
      <c r="A10" s="3" t="s">
        <v>207</v>
      </c>
      <c r="B10" s="4">
        <v>48</v>
      </c>
      <c r="C10" s="4">
        <v>68</v>
      </c>
      <c r="D10" s="4">
        <v>50</v>
      </c>
      <c r="E10" s="4">
        <v>14</v>
      </c>
      <c r="F10" s="4">
        <v>17</v>
      </c>
      <c r="G10" s="4">
        <v>3</v>
      </c>
      <c r="H10" s="4">
        <v>200</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54"/>
  <sheetViews>
    <sheetView workbookViewId="0">
      <selection activeCell="A4" sqref="A4"/>
    </sheetView>
  </sheetViews>
  <sheetFormatPr defaultRowHeight="14.5" x14ac:dyDescent="0.35"/>
  <cols>
    <col min="1" max="1" width="12.36328125" bestFit="1" customWidth="1"/>
    <col min="2" max="2" width="18.453125" bestFit="1" customWidth="1"/>
  </cols>
  <sheetData>
    <row r="3" spans="1:2" x14ac:dyDescent="0.35">
      <c r="A3" s="2" t="s">
        <v>206</v>
      </c>
      <c r="B3" t="s">
        <v>224</v>
      </c>
    </row>
    <row r="4" spans="1:2" x14ac:dyDescent="0.35">
      <c r="A4" s="3">
        <v>4</v>
      </c>
      <c r="B4" s="4">
        <v>5</v>
      </c>
    </row>
    <row r="5" spans="1:2" x14ac:dyDescent="0.35">
      <c r="A5" s="3">
        <v>4.0999999999999996</v>
      </c>
      <c r="B5" s="4">
        <v>2</v>
      </c>
    </row>
    <row r="6" spans="1:2" x14ac:dyDescent="0.35">
      <c r="A6" s="3">
        <v>4.3</v>
      </c>
      <c r="B6" s="4">
        <v>3</v>
      </c>
    </row>
    <row r="7" spans="1:2" x14ac:dyDescent="0.35">
      <c r="A7" s="3">
        <v>4.4000000000000004</v>
      </c>
      <c r="B7" s="4">
        <v>4</v>
      </c>
    </row>
    <row r="8" spans="1:2" x14ac:dyDescent="0.35">
      <c r="A8" s="3">
        <v>4.5</v>
      </c>
      <c r="B8" s="4">
        <v>5</v>
      </c>
    </row>
    <row r="9" spans="1:2" x14ac:dyDescent="0.35">
      <c r="A9" s="3">
        <v>4.5999999999999996</v>
      </c>
      <c r="B9" s="4">
        <v>5</v>
      </c>
    </row>
    <row r="10" spans="1:2" x14ac:dyDescent="0.35">
      <c r="A10" s="3">
        <v>4.7</v>
      </c>
      <c r="B10" s="4">
        <v>2</v>
      </c>
    </row>
    <row r="11" spans="1:2" x14ac:dyDescent="0.35">
      <c r="A11" s="3">
        <v>4.8</v>
      </c>
      <c r="B11" s="4">
        <v>5</v>
      </c>
    </row>
    <row r="12" spans="1:2" x14ac:dyDescent="0.35">
      <c r="A12" s="3">
        <v>4.9000000000000004</v>
      </c>
      <c r="B12" s="4">
        <v>2</v>
      </c>
    </row>
    <row r="13" spans="1:2" x14ac:dyDescent="0.35">
      <c r="A13" s="3">
        <v>5</v>
      </c>
      <c r="B13" s="4">
        <v>3</v>
      </c>
    </row>
    <row r="14" spans="1:2" x14ac:dyDescent="0.35">
      <c r="A14" s="3">
        <v>5.0999999999999996</v>
      </c>
      <c r="B14" s="4">
        <v>5</v>
      </c>
    </row>
    <row r="15" spans="1:2" x14ac:dyDescent="0.35">
      <c r="A15" s="3">
        <v>5.2</v>
      </c>
      <c r="B15" s="4">
        <v>4</v>
      </c>
    </row>
    <row r="16" spans="1:2" x14ac:dyDescent="0.35">
      <c r="A16" s="3">
        <v>5.3</v>
      </c>
      <c r="B16" s="4">
        <v>7</v>
      </c>
    </row>
    <row r="17" spans="1:2" x14ac:dyDescent="0.35">
      <c r="A17" s="3">
        <v>5.4</v>
      </c>
      <c r="B17" s="4">
        <v>4</v>
      </c>
    </row>
    <row r="18" spans="1:2" x14ac:dyDescent="0.35">
      <c r="A18" s="3">
        <v>5.5</v>
      </c>
      <c r="B18" s="4">
        <v>9</v>
      </c>
    </row>
    <row r="19" spans="1:2" x14ac:dyDescent="0.35">
      <c r="A19" s="3">
        <v>5.6</v>
      </c>
      <c r="B19" s="4">
        <v>4</v>
      </c>
    </row>
    <row r="20" spans="1:2" x14ac:dyDescent="0.35">
      <c r="A20" s="3">
        <v>5.7</v>
      </c>
      <c r="B20" s="4">
        <v>2</v>
      </c>
    </row>
    <row r="21" spans="1:2" x14ac:dyDescent="0.35">
      <c r="A21" s="3">
        <v>5.8</v>
      </c>
      <c r="B21" s="4">
        <v>2</v>
      </c>
    </row>
    <row r="22" spans="1:2" x14ac:dyDescent="0.35">
      <c r="A22" s="3">
        <v>5.9</v>
      </c>
      <c r="B22" s="4">
        <v>2</v>
      </c>
    </row>
    <row r="23" spans="1:2" x14ac:dyDescent="0.35">
      <c r="A23" s="3">
        <v>6</v>
      </c>
      <c r="B23" s="4">
        <v>6</v>
      </c>
    </row>
    <row r="24" spans="1:2" x14ac:dyDescent="0.35">
      <c r="A24" s="3">
        <v>6.1</v>
      </c>
      <c r="B24" s="4">
        <v>6</v>
      </c>
    </row>
    <row r="25" spans="1:2" x14ac:dyDescent="0.35">
      <c r="A25" s="3">
        <v>6.2</v>
      </c>
      <c r="B25" s="4">
        <v>1</v>
      </c>
    </row>
    <row r="26" spans="1:2" x14ac:dyDescent="0.35">
      <c r="A26" s="3">
        <v>6.3</v>
      </c>
      <c r="B26" s="4">
        <v>4</v>
      </c>
    </row>
    <row r="27" spans="1:2" x14ac:dyDescent="0.35">
      <c r="A27" s="3">
        <v>6.4</v>
      </c>
      <c r="B27" s="4">
        <v>2</v>
      </c>
    </row>
    <row r="28" spans="1:2" x14ac:dyDescent="0.35">
      <c r="A28" s="3">
        <v>6.5</v>
      </c>
      <c r="B28" s="4">
        <v>1</v>
      </c>
    </row>
    <row r="29" spans="1:2" x14ac:dyDescent="0.35">
      <c r="A29" s="3">
        <v>6.6</v>
      </c>
      <c r="B29" s="4">
        <v>2</v>
      </c>
    </row>
    <row r="30" spans="1:2" x14ac:dyDescent="0.35">
      <c r="A30" s="3">
        <v>6.7</v>
      </c>
      <c r="B30" s="4">
        <v>5</v>
      </c>
    </row>
    <row r="31" spans="1:2" x14ac:dyDescent="0.35">
      <c r="A31" s="3">
        <v>6.8</v>
      </c>
      <c r="B31" s="4">
        <v>3</v>
      </c>
    </row>
    <row r="32" spans="1:2" x14ac:dyDescent="0.35">
      <c r="A32" s="3">
        <v>6.9</v>
      </c>
      <c r="B32" s="4">
        <v>6</v>
      </c>
    </row>
    <row r="33" spans="1:2" x14ac:dyDescent="0.35">
      <c r="A33" s="3">
        <v>7</v>
      </c>
      <c r="B33" s="4">
        <v>4</v>
      </c>
    </row>
    <row r="34" spans="1:2" x14ac:dyDescent="0.35">
      <c r="A34" s="3">
        <v>7.1</v>
      </c>
      <c r="B34" s="4">
        <v>4</v>
      </c>
    </row>
    <row r="35" spans="1:2" x14ac:dyDescent="0.35">
      <c r="A35" s="3">
        <v>7.2</v>
      </c>
      <c r="B35" s="4">
        <v>3</v>
      </c>
    </row>
    <row r="36" spans="1:2" x14ac:dyDescent="0.35">
      <c r="A36" s="3">
        <v>7.3</v>
      </c>
      <c r="B36" s="4">
        <v>4</v>
      </c>
    </row>
    <row r="37" spans="1:2" x14ac:dyDescent="0.35">
      <c r="A37" s="3">
        <v>7.4</v>
      </c>
      <c r="B37" s="4">
        <v>4</v>
      </c>
    </row>
    <row r="38" spans="1:2" x14ac:dyDescent="0.35">
      <c r="A38" s="3">
        <v>7.5</v>
      </c>
      <c r="B38" s="4">
        <v>2</v>
      </c>
    </row>
    <row r="39" spans="1:2" x14ac:dyDescent="0.35">
      <c r="A39" s="3">
        <v>7.6</v>
      </c>
      <c r="B39" s="4">
        <v>6</v>
      </c>
    </row>
    <row r="40" spans="1:2" x14ac:dyDescent="0.35">
      <c r="A40" s="3">
        <v>7.7</v>
      </c>
      <c r="B40" s="4">
        <v>4</v>
      </c>
    </row>
    <row r="41" spans="1:2" x14ac:dyDescent="0.35">
      <c r="A41" s="3">
        <v>7.8</v>
      </c>
      <c r="B41" s="4">
        <v>1</v>
      </c>
    </row>
    <row r="42" spans="1:2" x14ac:dyDescent="0.35">
      <c r="A42" s="3">
        <v>7.9</v>
      </c>
      <c r="B42" s="4">
        <v>4</v>
      </c>
    </row>
    <row r="43" spans="1:2" x14ac:dyDescent="0.35">
      <c r="A43" s="3">
        <v>8</v>
      </c>
      <c r="B43" s="4">
        <v>3</v>
      </c>
    </row>
    <row r="44" spans="1:2" x14ac:dyDescent="0.35">
      <c r="A44" s="3">
        <v>8.1</v>
      </c>
      <c r="B44" s="4">
        <v>4</v>
      </c>
    </row>
    <row r="45" spans="1:2" x14ac:dyDescent="0.35">
      <c r="A45" s="3">
        <v>8.1999999999999993</v>
      </c>
      <c r="B45" s="4">
        <v>5</v>
      </c>
    </row>
    <row r="46" spans="1:2" x14ac:dyDescent="0.35">
      <c r="A46" s="3">
        <v>8.3000000000000007</v>
      </c>
      <c r="B46" s="4">
        <v>6</v>
      </c>
    </row>
    <row r="47" spans="1:2" x14ac:dyDescent="0.35">
      <c r="A47" s="3">
        <v>8.4</v>
      </c>
      <c r="B47" s="4">
        <v>6</v>
      </c>
    </row>
    <row r="48" spans="1:2" x14ac:dyDescent="0.35">
      <c r="A48" s="3">
        <v>8.5</v>
      </c>
      <c r="B48" s="4">
        <v>6</v>
      </c>
    </row>
    <row r="49" spans="1:2" x14ac:dyDescent="0.35">
      <c r="A49" s="3">
        <v>8.6</v>
      </c>
      <c r="B49" s="4">
        <v>3</v>
      </c>
    </row>
    <row r="50" spans="1:2" x14ac:dyDescent="0.35">
      <c r="A50" s="3">
        <v>8.6999999999999993</v>
      </c>
      <c r="B50" s="4">
        <v>6</v>
      </c>
    </row>
    <row r="51" spans="1:2" x14ac:dyDescent="0.35">
      <c r="A51" s="3">
        <v>8.8000000000000007</v>
      </c>
      <c r="B51" s="4">
        <v>6</v>
      </c>
    </row>
    <row r="52" spans="1:2" x14ac:dyDescent="0.35">
      <c r="A52" s="3">
        <v>8.9</v>
      </c>
      <c r="B52" s="4">
        <v>5</v>
      </c>
    </row>
    <row r="53" spans="1:2" x14ac:dyDescent="0.35">
      <c r="A53" s="3">
        <v>9</v>
      </c>
      <c r="B53" s="4">
        <v>3</v>
      </c>
    </row>
    <row r="54" spans="1:2" x14ac:dyDescent="0.35">
      <c r="A54" s="3" t="s">
        <v>207</v>
      </c>
      <c r="B54" s="4">
        <v>200</v>
      </c>
    </row>
  </sheetData>
  <pageMargins left="0.7" right="0.7" top="0.75" bottom="0.75" header="0.3" footer="0.3"/>
  <pageSetup paperSize="9"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10"/>
  <sheetViews>
    <sheetView topLeftCell="A2" workbookViewId="0">
      <selection activeCell="B4" sqref="B4"/>
    </sheetView>
  </sheetViews>
  <sheetFormatPr defaultRowHeight="14.5" x14ac:dyDescent="0.35"/>
  <cols>
    <col min="1" max="1" width="12.36328125" bestFit="1" customWidth="1"/>
    <col min="2" max="2" width="17.36328125" bestFit="1" customWidth="1"/>
    <col min="3" max="4" width="2.81640625" bestFit="1" customWidth="1"/>
    <col min="5" max="5" width="3.81640625" bestFit="1" customWidth="1"/>
    <col min="6" max="6" width="2.81640625" bestFit="1" customWidth="1"/>
    <col min="7" max="7" width="1.81640625" bestFit="1" customWidth="1"/>
    <col min="8" max="8" width="10.7265625" bestFit="1" customWidth="1"/>
  </cols>
  <sheetData>
    <row r="3" spans="1:2" x14ac:dyDescent="0.35">
      <c r="A3" s="2" t="s">
        <v>206</v>
      </c>
      <c r="B3" t="s">
        <v>227</v>
      </c>
    </row>
    <row r="4" spans="1:2" x14ac:dyDescent="0.35">
      <c r="A4" s="3" t="s">
        <v>218</v>
      </c>
      <c r="B4" s="6">
        <v>5.0000000000000001E-3</v>
      </c>
    </row>
    <row r="5" spans="1:2" x14ac:dyDescent="0.35">
      <c r="A5" s="3" t="s">
        <v>219</v>
      </c>
      <c r="B5" s="6">
        <v>5.5E-2</v>
      </c>
    </row>
    <row r="6" spans="1:2" x14ac:dyDescent="0.35">
      <c r="A6" s="3" t="s">
        <v>220</v>
      </c>
      <c r="B6" s="6">
        <v>0.13</v>
      </c>
    </row>
    <row r="7" spans="1:2" x14ac:dyDescent="0.35">
      <c r="A7" s="3" t="s">
        <v>221</v>
      </c>
      <c r="B7" s="6">
        <v>0.52</v>
      </c>
    </row>
    <row r="8" spans="1:2" x14ac:dyDescent="0.35">
      <c r="A8" s="3" t="s">
        <v>222</v>
      </c>
      <c r="B8" s="6">
        <v>0.27</v>
      </c>
    </row>
    <row r="9" spans="1:2" x14ac:dyDescent="0.35">
      <c r="A9" s="3" t="s">
        <v>223</v>
      </c>
      <c r="B9" s="6">
        <v>0.02</v>
      </c>
    </row>
    <row r="10" spans="1:2" x14ac:dyDescent="0.35">
      <c r="A10" s="3" t="s">
        <v>207</v>
      </c>
      <c r="B10" s="6">
        <v>1</v>
      </c>
    </row>
  </sheetData>
  <pageMargins left="0.7" right="0.7" top="0.75" bottom="0.75" header="0.3" footer="0.3"/>
  <pageSetup paperSize="9"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topLeftCell="A11" workbookViewId="0"/>
  </sheetViews>
  <sheetFormatPr defaultRowHeight="14.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workbookViewId="0"/>
  </sheetViews>
  <sheetFormatPr defaultRowHeight="14.5" x14ac:dyDescent="0.3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showGridLines="0" tabSelected="1" topLeftCell="A2" zoomScale="60" zoomScaleNormal="60" workbookViewId="0">
      <selection activeCell="AF23" sqref="AF23"/>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showGridLines="0" workbookViewId="0"/>
  </sheetViews>
  <sheetFormatPr defaultRowHeight="14.5" x14ac:dyDescent="0.3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workbookViewId="0"/>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499984740745262"/>
  </sheetPr>
  <dimension ref="A1:H201"/>
  <sheetViews>
    <sheetView workbookViewId="0">
      <selection activeCell="G2" sqref="G2"/>
    </sheetView>
  </sheetViews>
  <sheetFormatPr defaultRowHeight="14.5" x14ac:dyDescent="0.35"/>
  <cols>
    <col min="1" max="1" width="11.453125" customWidth="1"/>
    <col min="2" max="2" width="14.54296875" customWidth="1"/>
    <col min="3" max="3" width="12.54296875" customWidth="1"/>
    <col min="4" max="5" width="19.453125" customWidth="1"/>
    <col min="6" max="7" width="15.7265625" customWidth="1"/>
    <col min="8" max="8" width="12.26953125" customWidth="1"/>
  </cols>
  <sheetData>
    <row r="1" spans="1:8" x14ac:dyDescent="0.35">
      <c r="A1" s="1" t="s">
        <v>200</v>
      </c>
      <c r="B1" s="1" t="s">
        <v>201</v>
      </c>
      <c r="C1" s="1" t="s">
        <v>202</v>
      </c>
      <c r="D1" s="1" t="s">
        <v>203</v>
      </c>
      <c r="E1" s="1" t="s">
        <v>225</v>
      </c>
      <c r="F1" s="1" t="s">
        <v>204</v>
      </c>
      <c r="G1" s="1" t="s">
        <v>215</v>
      </c>
      <c r="H1" s="1" t="s">
        <v>205</v>
      </c>
    </row>
    <row r="2" spans="1:8" x14ac:dyDescent="0.35">
      <c r="A2" t="s">
        <v>0</v>
      </c>
      <c r="B2">
        <v>8</v>
      </c>
      <c r="C2">
        <v>8.8000000000000007</v>
      </c>
      <c r="D2">
        <v>72.099999999999994</v>
      </c>
      <c r="E2" t="str" cm="1">
        <f t="array" ref="E2">_xlfn.IFS(Exam_scores[[#This Row],[Previous scores]]&lt;=40,"F",Exam_scores[[#This Row],[Previous scores]]&lt;=45,"E",Exam_scores[[#This Row],[Previous scores]]&lt;=49,"D",Exam_scores[[#This Row],[Previous scores]]&lt;=59,"C",Exam_scores[[#This Row],[Previous scores]]&lt;=80,"B",Exam_scores[[#This Row],[Previous scores]]&gt;=81,"A")</f>
        <v>E</v>
      </c>
      <c r="F2">
        <v>45</v>
      </c>
      <c r="G2" t="str" cm="1">
        <f t="array" ref="G2">_xlfn.IFS(Exam_scores[[#This Row],[Exam score]]&lt;=20, "F",Exam_scores[[#This Row],[Exam score]]&lt;=30,"E",Exam_scores[[#This Row],[Exam score]]&lt;=40,"D",Exam_scores[[#This Row],[Exam score]]&lt;=45,"C",Exam_scores[[#This Row],[Exam score]]&lt;=49,"B",Exam_scores[[#This Row],[Exam score]]&gt;=50,"A")</f>
        <v>D</v>
      </c>
      <c r="H2">
        <v>30.2</v>
      </c>
    </row>
    <row r="3" spans="1:8" x14ac:dyDescent="0.35">
      <c r="A3" t="s">
        <v>1</v>
      </c>
      <c r="B3">
        <v>1.3</v>
      </c>
      <c r="C3">
        <v>8.6</v>
      </c>
      <c r="D3">
        <v>60.7</v>
      </c>
      <c r="E3" t="str" cm="1">
        <f t="array" ref="E3">_xlfn.IFS(Exam_scores[[#This Row],[Previous scores]]&lt;=40,"F",Exam_scores[[#This Row],[Previous scores]]&lt;=45,"E",Exam_scores[[#This Row],[Previous scores]]&lt;=49,"D",Exam_scores[[#This Row],[Previous scores]]&lt;=59,"C",Exam_scores[[#This Row],[Previous scores]]&lt;=80,"B",Exam_scores[[#This Row],[Previous scores]]&gt;=81,"A")</f>
        <v>C</v>
      </c>
      <c r="F3">
        <v>55</v>
      </c>
      <c r="G3" t="str" cm="1">
        <f t="array" ref="G3">_xlfn.IFS(Exam_scores[[#This Row],[Exam score]]&lt;=20, "F",Exam_scores[[#This Row],[Exam score]]&lt;=30,"E",Exam_scores[[#This Row],[Exam score]]&lt;=40,"D",Exam_scores[[#This Row],[Exam score]]&lt;=45,"C",Exam_scores[[#This Row],[Exam score]]&lt;=49,"B",Exam_scores[[#This Row],[Exam score]]&gt;=50,"A")</f>
        <v>E</v>
      </c>
      <c r="H3">
        <v>25</v>
      </c>
    </row>
    <row r="4" spans="1:8" x14ac:dyDescent="0.35">
      <c r="A4" t="s">
        <v>2</v>
      </c>
      <c r="B4">
        <v>4</v>
      </c>
      <c r="C4">
        <v>8.1999999999999993</v>
      </c>
      <c r="D4">
        <v>73.7</v>
      </c>
      <c r="E4" t="str" cm="1">
        <f t="array" ref="E4">_xlfn.IFS(Exam_scores[[#This Row],[Previous scores]]&lt;=40,"F",Exam_scores[[#This Row],[Previous scores]]&lt;=45,"E",Exam_scores[[#This Row],[Previous scores]]&lt;=49,"D",Exam_scores[[#This Row],[Previous scores]]&lt;=59,"C",Exam_scores[[#This Row],[Previous scores]]&lt;=80,"B",Exam_scores[[#This Row],[Previous scores]]&gt;=81,"A")</f>
        <v>A</v>
      </c>
      <c r="F4">
        <v>86</v>
      </c>
      <c r="G4" t="str" cm="1">
        <f t="array" ref="G4">_xlfn.IFS(Exam_scores[[#This Row],[Exam score]]&lt;=20, "F",Exam_scores[[#This Row],[Exam score]]&lt;=30,"E",Exam_scores[[#This Row],[Exam score]]&lt;=40,"D",Exam_scores[[#This Row],[Exam score]]&lt;=45,"C",Exam_scores[[#This Row],[Exam score]]&lt;=49,"B",Exam_scores[[#This Row],[Exam score]]&gt;=50,"A")</f>
        <v>D</v>
      </c>
      <c r="H4">
        <v>35.799999999999997</v>
      </c>
    </row>
    <row r="5" spans="1:8" x14ac:dyDescent="0.35">
      <c r="A5" t="s">
        <v>3</v>
      </c>
      <c r="B5">
        <v>3.5</v>
      </c>
      <c r="C5">
        <v>4.8</v>
      </c>
      <c r="D5">
        <v>95.1</v>
      </c>
      <c r="E5" t="str" cm="1">
        <f t="array" ref="E5">_xlfn.IFS(Exam_scores[[#This Row],[Previous scores]]&lt;=40,"F",Exam_scores[[#This Row],[Previous scores]]&lt;=45,"E",Exam_scores[[#This Row],[Previous scores]]&lt;=49,"D",Exam_scores[[#This Row],[Previous scores]]&lt;=59,"C",Exam_scores[[#This Row],[Previous scores]]&lt;=80,"B",Exam_scores[[#This Row],[Previous scores]]&gt;=81,"A")</f>
        <v>B</v>
      </c>
      <c r="F5">
        <v>66</v>
      </c>
      <c r="G5" t="str" cm="1">
        <f t="array" ref="G5">_xlfn.IFS(Exam_scores[[#This Row],[Exam score]]&lt;=20, "F",Exam_scores[[#This Row],[Exam score]]&lt;=30,"E",Exam_scores[[#This Row],[Exam score]]&lt;=40,"D",Exam_scores[[#This Row],[Exam score]]&lt;=45,"C",Exam_scores[[#This Row],[Exam score]]&lt;=49,"B",Exam_scores[[#This Row],[Exam score]]&gt;=50,"A")</f>
        <v>D</v>
      </c>
      <c r="H5">
        <v>34</v>
      </c>
    </row>
    <row r="6" spans="1:8" x14ac:dyDescent="0.35">
      <c r="A6" t="s">
        <v>4</v>
      </c>
      <c r="B6">
        <v>9.1</v>
      </c>
      <c r="C6">
        <v>6.4</v>
      </c>
      <c r="D6">
        <v>89.8</v>
      </c>
      <c r="E6" t="str" cm="1">
        <f t="array" ref="E6">_xlfn.IFS(Exam_scores[[#This Row],[Previous scores]]&lt;=40,"F",Exam_scores[[#This Row],[Previous scores]]&lt;=45,"E",Exam_scores[[#This Row],[Previous scores]]&lt;=49,"D",Exam_scores[[#This Row],[Previous scores]]&lt;=59,"C",Exam_scores[[#This Row],[Previous scores]]&lt;=80,"B",Exam_scores[[#This Row],[Previous scores]]&gt;=81,"A")</f>
        <v>B</v>
      </c>
      <c r="F6">
        <v>71</v>
      </c>
      <c r="G6" t="str" cm="1">
        <f t="array" ref="G6">_xlfn.IFS(Exam_scores[[#This Row],[Exam score]]&lt;=20, "F",Exam_scores[[#This Row],[Exam score]]&lt;=30,"E",Exam_scores[[#This Row],[Exam score]]&lt;=40,"D",Exam_scores[[#This Row],[Exam score]]&lt;=45,"C",Exam_scores[[#This Row],[Exam score]]&lt;=49,"B",Exam_scores[[#This Row],[Exam score]]&gt;=50,"A")</f>
        <v>C</v>
      </c>
      <c r="H6">
        <v>40.299999999999997</v>
      </c>
    </row>
    <row r="7" spans="1:8" x14ac:dyDescent="0.35">
      <c r="A7" t="s">
        <v>5</v>
      </c>
      <c r="B7">
        <v>8.4</v>
      </c>
      <c r="C7">
        <v>5.0999999999999996</v>
      </c>
      <c r="D7">
        <v>58.5</v>
      </c>
      <c r="E7" t="str" cm="1">
        <f t="array" ref="E7">_xlfn.IFS(Exam_scores[[#This Row],[Previous scores]]&lt;=40,"F",Exam_scores[[#This Row],[Previous scores]]&lt;=45,"E",Exam_scores[[#This Row],[Previous scores]]&lt;=49,"D",Exam_scores[[#This Row],[Previous scores]]&lt;=59,"C",Exam_scores[[#This Row],[Previous scores]]&lt;=80,"B",Exam_scores[[#This Row],[Previous scores]]&gt;=81,"A")</f>
        <v>B</v>
      </c>
      <c r="F7">
        <v>75</v>
      </c>
      <c r="G7" t="str" cm="1">
        <f t="array" ref="G7">_xlfn.IFS(Exam_scores[[#This Row],[Exam score]]&lt;=20, "F",Exam_scores[[#This Row],[Exam score]]&lt;=30,"E",Exam_scores[[#This Row],[Exam score]]&lt;=40,"D",Exam_scores[[#This Row],[Exam score]]&lt;=45,"C",Exam_scores[[#This Row],[Exam score]]&lt;=49,"B",Exam_scores[[#This Row],[Exam score]]&gt;=50,"A")</f>
        <v>D</v>
      </c>
      <c r="H7">
        <v>35.700000000000003</v>
      </c>
    </row>
    <row r="8" spans="1:8" x14ac:dyDescent="0.35">
      <c r="A8" t="s">
        <v>6</v>
      </c>
      <c r="B8">
        <v>10.8</v>
      </c>
      <c r="C8">
        <v>6</v>
      </c>
      <c r="D8">
        <v>54.2</v>
      </c>
      <c r="E8" t="str" cm="1">
        <f t="array" ref="E8">_xlfn.IFS(Exam_scores[[#This Row],[Previous scores]]&lt;=40,"F",Exam_scores[[#This Row],[Previous scores]]&lt;=45,"E",Exam_scores[[#This Row],[Previous scores]]&lt;=49,"D",Exam_scores[[#This Row],[Previous scores]]&lt;=59,"C",Exam_scores[[#This Row],[Previous scores]]&lt;=80,"B",Exam_scores[[#This Row],[Previous scores]]&gt;=81,"A")</f>
        <v>A</v>
      </c>
      <c r="F8">
        <v>88</v>
      </c>
      <c r="G8" t="str" cm="1">
        <f t="array" ref="G8">_xlfn.IFS(Exam_scores[[#This Row],[Exam score]]&lt;=20, "F",Exam_scores[[#This Row],[Exam score]]&lt;=30,"E",Exam_scores[[#This Row],[Exam score]]&lt;=40,"D",Exam_scores[[#This Row],[Exam score]]&lt;=45,"C",Exam_scores[[#This Row],[Exam score]]&lt;=49,"B",Exam_scores[[#This Row],[Exam score]]&gt;=50,"A")</f>
        <v>D</v>
      </c>
      <c r="H8">
        <v>37.9</v>
      </c>
    </row>
    <row r="9" spans="1:8" x14ac:dyDescent="0.35">
      <c r="A9" t="s">
        <v>7</v>
      </c>
      <c r="B9">
        <v>2</v>
      </c>
      <c r="C9">
        <v>4.3</v>
      </c>
      <c r="D9">
        <v>75.8</v>
      </c>
      <c r="E9" t="str" cm="1">
        <f t="array" ref="E9">_xlfn.IFS(Exam_scores[[#This Row],[Previous scores]]&lt;=40,"F",Exam_scores[[#This Row],[Previous scores]]&lt;=45,"E",Exam_scores[[#This Row],[Previous scores]]&lt;=49,"D",Exam_scores[[#This Row],[Previous scores]]&lt;=59,"C",Exam_scores[[#This Row],[Previous scores]]&lt;=80,"B",Exam_scores[[#This Row],[Previous scores]]&gt;=81,"A")</f>
        <v>C</v>
      </c>
      <c r="F9">
        <v>55</v>
      </c>
      <c r="G9" t="str" cm="1">
        <f t="array" ref="G9">_xlfn.IFS(Exam_scores[[#This Row],[Exam score]]&lt;=20, "F",Exam_scores[[#This Row],[Exam score]]&lt;=30,"E",Exam_scores[[#This Row],[Exam score]]&lt;=40,"D",Exam_scores[[#This Row],[Exam score]]&lt;=45,"C",Exam_scores[[#This Row],[Exam score]]&lt;=49,"B",Exam_scores[[#This Row],[Exam score]]&gt;=50,"A")</f>
        <v>F</v>
      </c>
      <c r="H9">
        <v>18.3</v>
      </c>
    </row>
    <row r="10" spans="1:8" x14ac:dyDescent="0.35">
      <c r="A10" t="s">
        <v>8</v>
      </c>
      <c r="B10">
        <v>5.6</v>
      </c>
      <c r="C10">
        <v>5.9</v>
      </c>
      <c r="D10">
        <v>81.599999999999994</v>
      </c>
      <c r="E10" t="str" cm="1">
        <f t="array" ref="E10">_xlfn.IFS(Exam_scores[[#This Row],[Previous scores]]&lt;=40,"F",Exam_scores[[#This Row],[Previous scores]]&lt;=45,"E",Exam_scores[[#This Row],[Previous scores]]&lt;=49,"D",Exam_scores[[#This Row],[Previous scores]]&lt;=59,"C",Exam_scores[[#This Row],[Previous scores]]&lt;=80,"B",Exam_scores[[#This Row],[Previous scores]]&gt;=81,"A")</f>
        <v>A</v>
      </c>
      <c r="F10">
        <v>84</v>
      </c>
      <c r="G10" t="str" cm="1">
        <f t="array" ref="G10">_xlfn.IFS(Exam_scores[[#This Row],[Exam score]]&lt;=20, "F",Exam_scores[[#This Row],[Exam score]]&lt;=30,"E",Exam_scores[[#This Row],[Exam score]]&lt;=40,"D",Exam_scores[[#This Row],[Exam score]]&lt;=45,"C",Exam_scores[[#This Row],[Exam score]]&lt;=49,"B",Exam_scores[[#This Row],[Exam score]]&gt;=50,"A")</f>
        <v>D</v>
      </c>
      <c r="H10">
        <v>34.700000000000003</v>
      </c>
    </row>
    <row r="11" spans="1:8" x14ac:dyDescent="0.35">
      <c r="A11" t="s">
        <v>9</v>
      </c>
      <c r="B11">
        <v>1.3</v>
      </c>
      <c r="C11">
        <v>8.9</v>
      </c>
      <c r="D11">
        <v>66.8</v>
      </c>
      <c r="E11" t="str" cm="1">
        <f t="array" ref="E11">_xlfn.IFS(Exam_scores[[#This Row],[Previous scores]]&lt;=40,"F",Exam_scores[[#This Row],[Previous scores]]&lt;=45,"E",Exam_scores[[#This Row],[Previous scores]]&lt;=49,"D",Exam_scores[[#This Row],[Previous scores]]&lt;=59,"C",Exam_scores[[#This Row],[Previous scores]]&lt;=80,"B",Exam_scores[[#This Row],[Previous scores]]&gt;=81,"A")</f>
        <v>B</v>
      </c>
      <c r="F11">
        <v>70</v>
      </c>
      <c r="G11" t="str" cm="1">
        <f t="array" ref="G11">_xlfn.IFS(Exam_scores[[#This Row],[Exam score]]&lt;=20, "F",Exam_scores[[#This Row],[Exam score]]&lt;=30,"E",Exam_scores[[#This Row],[Exam score]]&lt;=40,"D",Exam_scores[[#This Row],[Exam score]]&lt;=45,"C",Exam_scores[[#This Row],[Exam score]]&lt;=49,"B",Exam_scores[[#This Row],[Exam score]]&gt;=50,"A")</f>
        <v>E</v>
      </c>
      <c r="H11">
        <v>24.7</v>
      </c>
    </row>
    <row r="12" spans="1:8" x14ac:dyDescent="0.35">
      <c r="A12" t="s">
        <v>10</v>
      </c>
      <c r="B12">
        <v>3.4</v>
      </c>
      <c r="C12">
        <v>5.3</v>
      </c>
      <c r="D12">
        <v>90.9</v>
      </c>
      <c r="E12" t="str" cm="1">
        <f t="array" ref="E12">_xlfn.IFS(Exam_scores[[#This Row],[Previous scores]]&lt;=40,"F",Exam_scores[[#This Row],[Previous scores]]&lt;=45,"E",Exam_scores[[#This Row],[Previous scores]]&lt;=49,"D",Exam_scores[[#This Row],[Previous scores]]&lt;=59,"C",Exam_scores[[#This Row],[Previous scores]]&lt;=80,"B",Exam_scores[[#This Row],[Previous scores]]&gt;=81,"A")</f>
        <v>A</v>
      </c>
      <c r="F12">
        <v>81</v>
      </c>
      <c r="G12" t="str" cm="1">
        <f t="array" ref="G12">_xlfn.IFS(Exam_scores[[#This Row],[Exam score]]&lt;=20, "F",Exam_scores[[#This Row],[Exam score]]&lt;=30,"E",Exam_scores[[#This Row],[Exam score]]&lt;=40,"D",Exam_scores[[#This Row],[Exam score]]&lt;=45,"C",Exam_scores[[#This Row],[Exam score]]&lt;=49,"B",Exam_scores[[#This Row],[Exam score]]&gt;=50,"A")</f>
        <v>E</v>
      </c>
      <c r="H12">
        <v>29.3</v>
      </c>
    </row>
    <row r="13" spans="1:8" x14ac:dyDescent="0.35">
      <c r="A13" t="s">
        <v>11</v>
      </c>
      <c r="B13">
        <v>6.6</v>
      </c>
      <c r="C13">
        <v>7.9</v>
      </c>
      <c r="D13">
        <v>87.6</v>
      </c>
      <c r="E13" t="str" cm="1">
        <f t="array" ref="E13">_xlfn.IFS(Exam_scores[[#This Row],[Previous scores]]&lt;=40,"F",Exam_scores[[#This Row],[Previous scores]]&lt;=45,"E",Exam_scores[[#This Row],[Previous scores]]&lt;=49,"D",Exam_scores[[#This Row],[Previous scores]]&lt;=59,"C",Exam_scores[[#This Row],[Previous scores]]&lt;=80,"B",Exam_scores[[#This Row],[Previous scores]]&gt;=81,"A")</f>
        <v>A</v>
      </c>
      <c r="F13">
        <v>85</v>
      </c>
      <c r="G13" t="str" cm="1">
        <f t="array" ref="G13">_xlfn.IFS(Exam_scores[[#This Row],[Exam score]]&lt;=20, "F",Exam_scores[[#This Row],[Exam score]]&lt;=30,"E",Exam_scores[[#This Row],[Exam score]]&lt;=40,"D",Exam_scores[[#This Row],[Exam score]]&lt;=45,"C",Exam_scores[[#This Row],[Exam score]]&lt;=49,"B",Exam_scores[[#This Row],[Exam score]]&gt;=50,"A")</f>
        <v>D</v>
      </c>
      <c r="H13">
        <v>35.1</v>
      </c>
    </row>
    <row r="14" spans="1:8" x14ac:dyDescent="0.35">
      <c r="A14" t="s">
        <v>12</v>
      </c>
      <c r="B14">
        <v>1.3</v>
      </c>
      <c r="C14">
        <v>6.3</v>
      </c>
      <c r="D14">
        <v>83.6</v>
      </c>
      <c r="E14" t="str" cm="1">
        <f t="array" ref="E14">_xlfn.IFS(Exam_scores[[#This Row],[Previous scores]]&lt;=40,"F",Exam_scores[[#This Row],[Previous scores]]&lt;=45,"E",Exam_scores[[#This Row],[Previous scores]]&lt;=49,"D",Exam_scores[[#This Row],[Previous scores]]&lt;=59,"C",Exam_scores[[#This Row],[Previous scores]]&lt;=80,"B",Exam_scores[[#This Row],[Previous scores]]&gt;=81,"A")</f>
        <v>B</v>
      </c>
      <c r="F14">
        <v>71</v>
      </c>
      <c r="G14" t="str" cm="1">
        <f t="array" ref="G14">_xlfn.IFS(Exam_scores[[#This Row],[Exam score]]&lt;=20, "F",Exam_scores[[#This Row],[Exam score]]&lt;=30,"E",Exam_scores[[#This Row],[Exam score]]&lt;=40,"D",Exam_scores[[#This Row],[Exam score]]&lt;=45,"C",Exam_scores[[#This Row],[Exam score]]&lt;=49,"B",Exam_scores[[#This Row],[Exam score]]&gt;=50,"A")</f>
        <v>D</v>
      </c>
      <c r="H14">
        <v>31.2</v>
      </c>
    </row>
    <row r="15" spans="1:8" x14ac:dyDescent="0.35">
      <c r="A15" t="s">
        <v>13</v>
      </c>
      <c r="B15">
        <v>3.2</v>
      </c>
      <c r="C15">
        <v>6.1</v>
      </c>
      <c r="D15">
        <v>61.2</v>
      </c>
      <c r="E15" t="str" cm="1">
        <f t="array" ref="E15">_xlfn.IFS(Exam_scores[[#This Row],[Previous scores]]&lt;=40,"F",Exam_scores[[#This Row],[Previous scores]]&lt;=45,"E",Exam_scores[[#This Row],[Previous scores]]&lt;=49,"D",Exam_scores[[#This Row],[Previous scores]]&lt;=59,"C",Exam_scores[[#This Row],[Previous scores]]&lt;=80,"B",Exam_scores[[#This Row],[Previous scores]]&gt;=81,"A")</f>
        <v>B</v>
      </c>
      <c r="F15">
        <v>68</v>
      </c>
      <c r="G15" t="str" cm="1">
        <f t="array" ref="G15">_xlfn.IFS(Exam_scores[[#This Row],[Exam score]]&lt;=20, "F",Exam_scores[[#This Row],[Exam score]]&lt;=30,"E",Exam_scores[[#This Row],[Exam score]]&lt;=40,"D",Exam_scores[[#This Row],[Exam score]]&lt;=45,"C",Exam_scores[[#This Row],[Exam score]]&lt;=49,"B",Exam_scores[[#This Row],[Exam score]]&gt;=50,"A")</f>
        <v>D</v>
      </c>
      <c r="H15">
        <v>30.2</v>
      </c>
    </row>
    <row r="16" spans="1:8" x14ac:dyDescent="0.35">
      <c r="A16" t="s">
        <v>14</v>
      </c>
      <c r="B16">
        <v>8.1</v>
      </c>
      <c r="C16">
        <v>8.8000000000000007</v>
      </c>
      <c r="D16">
        <v>60</v>
      </c>
      <c r="E16" t="str" cm="1">
        <f t="array" ref="E16">_xlfn.IFS(Exam_scores[[#This Row],[Previous scores]]&lt;=40,"F",Exam_scores[[#This Row],[Previous scores]]&lt;=45,"E",Exam_scores[[#This Row],[Previous scores]]&lt;=49,"D",Exam_scores[[#This Row],[Previous scores]]&lt;=59,"C",Exam_scores[[#This Row],[Previous scores]]&lt;=80,"B",Exam_scores[[#This Row],[Previous scores]]&gt;=81,"A")</f>
        <v>A</v>
      </c>
      <c r="F16">
        <v>90</v>
      </c>
      <c r="G16" t="str" cm="1">
        <f t="array" ref="G16">_xlfn.IFS(Exam_scores[[#This Row],[Exam score]]&lt;=20, "F",Exam_scores[[#This Row],[Exam score]]&lt;=30,"E",Exam_scores[[#This Row],[Exam score]]&lt;=40,"D",Exam_scores[[#This Row],[Exam score]]&lt;=45,"C",Exam_scores[[#This Row],[Exam score]]&lt;=49,"B",Exam_scores[[#This Row],[Exam score]]&gt;=50,"A")</f>
        <v>C</v>
      </c>
      <c r="H16">
        <v>41.1</v>
      </c>
    </row>
    <row r="17" spans="1:8" x14ac:dyDescent="0.35">
      <c r="A17" t="s">
        <v>15</v>
      </c>
      <c r="B17">
        <v>7</v>
      </c>
      <c r="C17">
        <v>9</v>
      </c>
      <c r="D17">
        <v>51.2</v>
      </c>
      <c r="E17" t="str" cm="1">
        <f t="array" ref="E17">_xlfn.IFS(Exam_scores[[#This Row],[Previous scores]]&lt;=40,"F",Exam_scores[[#This Row],[Previous scores]]&lt;=45,"E",Exam_scores[[#This Row],[Previous scores]]&lt;=49,"D",Exam_scores[[#This Row],[Previous scores]]&lt;=59,"C",Exam_scores[[#This Row],[Previous scores]]&lt;=80,"B",Exam_scores[[#This Row],[Previous scores]]&gt;=81,"A")</f>
        <v>E</v>
      </c>
      <c r="F17">
        <v>41</v>
      </c>
      <c r="G17" t="str" cm="1">
        <f t="array" ref="G17">_xlfn.IFS(Exam_scores[[#This Row],[Exam score]]&lt;=20, "F",Exam_scores[[#This Row],[Exam score]]&lt;=30,"E",Exam_scores[[#This Row],[Exam score]]&lt;=40,"D",Exam_scores[[#This Row],[Exam score]]&lt;=45,"C",Exam_scores[[#This Row],[Exam score]]&lt;=49,"B",Exam_scores[[#This Row],[Exam score]]&gt;=50,"A")</f>
        <v>D</v>
      </c>
      <c r="H17">
        <v>34.1</v>
      </c>
    </row>
    <row r="18" spans="1:8" x14ac:dyDescent="0.35">
      <c r="A18" t="s">
        <v>16</v>
      </c>
      <c r="B18">
        <v>3.4</v>
      </c>
      <c r="C18">
        <v>6.8</v>
      </c>
      <c r="D18">
        <v>62.2</v>
      </c>
      <c r="E18" t="str" cm="1">
        <f t="array" ref="E18">_xlfn.IFS(Exam_scores[[#This Row],[Previous scores]]&lt;=40,"F",Exam_scores[[#This Row],[Previous scores]]&lt;=45,"E",Exam_scores[[#This Row],[Previous scores]]&lt;=49,"D",Exam_scores[[#This Row],[Previous scores]]&lt;=59,"C",Exam_scores[[#This Row],[Previous scores]]&lt;=80,"B",Exam_scores[[#This Row],[Previous scores]]&gt;=81,"A")</f>
        <v>E</v>
      </c>
      <c r="F18">
        <v>45</v>
      </c>
      <c r="G18" t="str" cm="1">
        <f t="array" ref="G18">_xlfn.IFS(Exam_scores[[#This Row],[Exam score]]&lt;=20, "F",Exam_scores[[#This Row],[Exam score]]&lt;=30,"E",Exam_scores[[#This Row],[Exam score]]&lt;=40,"D",Exam_scores[[#This Row],[Exam score]]&lt;=45,"C",Exam_scores[[#This Row],[Exam score]]&lt;=49,"B",Exam_scores[[#This Row],[Exam score]]&gt;=50,"A")</f>
        <v>E</v>
      </c>
      <c r="H18">
        <v>28.9</v>
      </c>
    </row>
    <row r="19" spans="1:8" x14ac:dyDescent="0.35">
      <c r="A19" t="s">
        <v>17</v>
      </c>
      <c r="B19">
        <v>7.5</v>
      </c>
      <c r="C19">
        <v>7.6</v>
      </c>
      <c r="D19">
        <v>73.8</v>
      </c>
      <c r="E19" t="str" cm="1">
        <f t="array" ref="E19">_xlfn.IFS(Exam_scores[[#This Row],[Previous scores]]&lt;=40,"F",Exam_scores[[#This Row],[Previous scores]]&lt;=45,"E",Exam_scores[[#This Row],[Previous scores]]&lt;=49,"D",Exam_scores[[#This Row],[Previous scores]]&lt;=59,"C",Exam_scores[[#This Row],[Previous scores]]&lt;=80,"B",Exam_scores[[#This Row],[Previous scores]]&gt;=81,"A")</f>
        <v>C</v>
      </c>
      <c r="F19">
        <v>58</v>
      </c>
      <c r="G19" t="str" cm="1">
        <f t="array" ref="G19">_xlfn.IFS(Exam_scores[[#This Row],[Exam score]]&lt;=20, "F",Exam_scores[[#This Row],[Exam score]]&lt;=30,"E",Exam_scores[[#This Row],[Exam score]]&lt;=40,"D",Exam_scores[[#This Row],[Exam score]]&lt;=45,"C",Exam_scores[[#This Row],[Exam score]]&lt;=49,"B",Exam_scores[[#This Row],[Exam score]]&gt;=50,"A")</f>
        <v>D</v>
      </c>
      <c r="H19">
        <v>36.299999999999997</v>
      </c>
    </row>
    <row r="20" spans="1:8" x14ac:dyDescent="0.35">
      <c r="A20" t="s">
        <v>18</v>
      </c>
      <c r="B20">
        <v>9.9</v>
      </c>
      <c r="C20">
        <v>4.8</v>
      </c>
      <c r="D20">
        <v>92.5</v>
      </c>
      <c r="E20" t="str" cm="1">
        <f t="array" ref="E20">_xlfn.IFS(Exam_scores[[#This Row],[Previous scores]]&lt;=40,"F",Exam_scores[[#This Row],[Previous scores]]&lt;=45,"E",Exam_scores[[#This Row],[Previous scores]]&lt;=49,"D",Exam_scores[[#This Row],[Previous scores]]&lt;=59,"C",Exam_scores[[#This Row],[Previous scores]]&lt;=80,"B",Exam_scores[[#This Row],[Previous scores]]&gt;=81,"A")</f>
        <v>C</v>
      </c>
      <c r="F20">
        <v>54</v>
      </c>
      <c r="G20" t="str" cm="1">
        <f t="array" ref="G20">_xlfn.IFS(Exam_scores[[#This Row],[Exam score]]&lt;=20, "F",Exam_scores[[#This Row],[Exam score]]&lt;=30,"E",Exam_scores[[#This Row],[Exam score]]&lt;=40,"D",Exam_scores[[#This Row],[Exam score]]&lt;=45,"C",Exam_scores[[#This Row],[Exam score]]&lt;=49,"B",Exam_scores[[#This Row],[Exam score]]&gt;=50,"A")</f>
        <v>D</v>
      </c>
      <c r="H20">
        <v>35.6</v>
      </c>
    </row>
    <row r="21" spans="1:8" x14ac:dyDescent="0.35">
      <c r="A21" t="s">
        <v>19</v>
      </c>
      <c r="B21">
        <v>1.1000000000000001</v>
      </c>
      <c r="C21">
        <v>5.5</v>
      </c>
      <c r="D21">
        <v>53.6</v>
      </c>
      <c r="E21" t="str" cm="1">
        <f t="array" ref="E21">_xlfn.IFS(Exam_scores[[#This Row],[Previous scores]]&lt;=40,"F",Exam_scores[[#This Row],[Previous scores]]&lt;=45,"E",Exam_scores[[#This Row],[Previous scores]]&lt;=49,"D",Exam_scores[[#This Row],[Previous scores]]&lt;=59,"C",Exam_scores[[#This Row],[Previous scores]]&lt;=80,"B",Exam_scores[[#This Row],[Previous scores]]&gt;=81,"A")</f>
        <v>B</v>
      </c>
      <c r="F21">
        <v>65</v>
      </c>
      <c r="G21" t="str" cm="1">
        <f t="array" ref="G21">_xlfn.IFS(Exam_scores[[#This Row],[Exam score]]&lt;=20, "F",Exam_scores[[#This Row],[Exam score]]&lt;=30,"E",Exam_scores[[#This Row],[Exam score]]&lt;=40,"D",Exam_scores[[#This Row],[Exam score]]&lt;=45,"C",Exam_scores[[#This Row],[Exam score]]&lt;=49,"B",Exam_scores[[#This Row],[Exam score]]&gt;=50,"A")</f>
        <v>F</v>
      </c>
      <c r="H21">
        <v>17.100000000000001</v>
      </c>
    </row>
    <row r="22" spans="1:8" x14ac:dyDescent="0.35">
      <c r="A22" t="s">
        <v>20</v>
      </c>
      <c r="B22">
        <v>9.9</v>
      </c>
      <c r="C22">
        <v>8.8000000000000007</v>
      </c>
      <c r="D22">
        <v>70.7</v>
      </c>
      <c r="E22" t="str" cm="1">
        <f t="array" ref="E22">_xlfn.IFS(Exam_scores[[#This Row],[Previous scores]]&lt;=40,"F",Exam_scores[[#This Row],[Previous scores]]&lt;=45,"E",Exam_scores[[#This Row],[Previous scores]]&lt;=49,"D",Exam_scores[[#This Row],[Previous scores]]&lt;=59,"C",Exam_scores[[#This Row],[Previous scores]]&lt;=80,"B",Exam_scores[[#This Row],[Previous scores]]&gt;=81,"A")</f>
        <v>A</v>
      </c>
      <c r="F22">
        <v>84</v>
      </c>
      <c r="G22" t="str" cm="1">
        <f t="array" ref="G22">_xlfn.IFS(Exam_scores[[#This Row],[Exam score]]&lt;=20, "F",Exam_scores[[#This Row],[Exam score]]&lt;=30,"E",Exam_scores[[#This Row],[Exam score]]&lt;=40,"D",Exam_scores[[#This Row],[Exam score]]&lt;=45,"C",Exam_scores[[#This Row],[Exam score]]&lt;=49,"B",Exam_scores[[#This Row],[Exam score]]&gt;=50,"A")</f>
        <v>B</v>
      </c>
      <c r="H22">
        <v>46</v>
      </c>
    </row>
    <row r="23" spans="1:8" x14ac:dyDescent="0.35">
      <c r="A23" t="s">
        <v>21</v>
      </c>
      <c r="B23">
        <v>8.6999999999999993</v>
      </c>
      <c r="C23">
        <v>6.9</v>
      </c>
      <c r="D23">
        <v>81.5</v>
      </c>
      <c r="E23" t="str" cm="1">
        <f t="array" ref="E23">_xlfn.IFS(Exam_scores[[#This Row],[Previous scores]]&lt;=40,"F",Exam_scores[[#This Row],[Previous scores]]&lt;=45,"E",Exam_scores[[#This Row],[Previous scores]]&lt;=49,"D",Exam_scores[[#This Row],[Previous scores]]&lt;=59,"C",Exam_scores[[#This Row],[Previous scores]]&lt;=80,"B",Exam_scores[[#This Row],[Previous scores]]&gt;=81,"A")</f>
        <v>C</v>
      </c>
      <c r="F23">
        <v>55</v>
      </c>
      <c r="G23" t="str" cm="1">
        <f t="array" ref="G23">_xlfn.IFS(Exam_scores[[#This Row],[Exam score]]&lt;=20, "F",Exam_scores[[#This Row],[Exam score]]&lt;=30,"E",Exam_scores[[#This Row],[Exam score]]&lt;=40,"D",Exam_scores[[#This Row],[Exam score]]&lt;=45,"C",Exam_scores[[#This Row],[Exam score]]&lt;=49,"B",Exam_scores[[#This Row],[Exam score]]&gt;=50,"A")</f>
        <v>D</v>
      </c>
      <c r="H23">
        <v>36.1</v>
      </c>
    </row>
    <row r="24" spans="1:8" x14ac:dyDescent="0.35">
      <c r="A24" t="s">
        <v>22</v>
      </c>
      <c r="B24">
        <v>4.7</v>
      </c>
      <c r="C24">
        <v>6.7</v>
      </c>
      <c r="D24">
        <v>59.7</v>
      </c>
      <c r="E24" t="str" cm="1">
        <f t="array" ref="E24">_xlfn.IFS(Exam_scores[[#This Row],[Previous scores]]&lt;=40,"F",Exam_scores[[#This Row],[Previous scores]]&lt;=45,"E",Exam_scores[[#This Row],[Previous scores]]&lt;=49,"D",Exam_scores[[#This Row],[Previous scores]]&lt;=59,"C",Exam_scores[[#This Row],[Previous scores]]&lt;=80,"B",Exam_scores[[#This Row],[Previous scores]]&gt;=81,"A")</f>
        <v>C</v>
      </c>
      <c r="F24">
        <v>59</v>
      </c>
      <c r="G24" t="str" cm="1">
        <f t="array" ref="G24">_xlfn.IFS(Exam_scores[[#This Row],[Exam score]]&lt;=20, "F",Exam_scores[[#This Row],[Exam score]]&lt;=30,"E",Exam_scores[[#This Row],[Exam score]]&lt;=40,"D",Exam_scores[[#This Row],[Exam score]]&lt;=45,"C",Exam_scores[[#This Row],[Exam score]]&lt;=49,"B",Exam_scores[[#This Row],[Exam score]]&gt;=50,"A")</f>
        <v>E</v>
      </c>
      <c r="H24">
        <v>29.6</v>
      </c>
    </row>
    <row r="25" spans="1:8" x14ac:dyDescent="0.35">
      <c r="A25" t="s">
        <v>23</v>
      </c>
      <c r="B25">
        <v>2.7</v>
      </c>
      <c r="C25">
        <v>7.7</v>
      </c>
      <c r="D25">
        <v>84.8</v>
      </c>
      <c r="E25" t="str" cm="1">
        <f t="array" ref="E25">_xlfn.IFS(Exam_scores[[#This Row],[Previous scores]]&lt;=40,"F",Exam_scores[[#This Row],[Previous scores]]&lt;=45,"E",Exam_scores[[#This Row],[Previous scores]]&lt;=49,"D",Exam_scores[[#This Row],[Previous scores]]&lt;=59,"C",Exam_scores[[#This Row],[Previous scores]]&lt;=80,"B",Exam_scores[[#This Row],[Previous scores]]&gt;=81,"A")</f>
        <v>A</v>
      </c>
      <c r="F25">
        <v>82</v>
      </c>
      <c r="G25" t="str" cm="1">
        <f t="array" ref="G25">_xlfn.IFS(Exam_scores[[#This Row],[Exam score]]&lt;=20, "F",Exam_scores[[#This Row],[Exam score]]&lt;=30,"E",Exam_scores[[#This Row],[Exam score]]&lt;=40,"D",Exam_scores[[#This Row],[Exam score]]&lt;=45,"C",Exam_scores[[#This Row],[Exam score]]&lt;=49,"B",Exam_scores[[#This Row],[Exam score]]&gt;=50,"A")</f>
        <v>D</v>
      </c>
      <c r="H25">
        <v>35.9</v>
      </c>
    </row>
    <row r="26" spans="1:8" x14ac:dyDescent="0.35">
      <c r="A26" t="s">
        <v>24</v>
      </c>
      <c r="B26">
        <v>11.5</v>
      </c>
      <c r="C26">
        <v>4.3</v>
      </c>
      <c r="D26">
        <v>74.7</v>
      </c>
      <c r="E26" t="str" cm="1">
        <f t="array" ref="E26">_xlfn.IFS(Exam_scores[[#This Row],[Previous scores]]&lt;=40,"F",Exam_scores[[#This Row],[Previous scores]]&lt;=45,"E",Exam_scores[[#This Row],[Previous scores]]&lt;=49,"D",Exam_scores[[#This Row],[Previous scores]]&lt;=59,"C",Exam_scores[[#This Row],[Previous scores]]&lt;=80,"B",Exam_scores[[#This Row],[Previous scores]]&gt;=81,"A")</f>
        <v>B</v>
      </c>
      <c r="F26">
        <v>77</v>
      </c>
      <c r="G26" t="str" cm="1">
        <f t="array" ref="G26">_xlfn.IFS(Exam_scores[[#This Row],[Exam score]]&lt;=20, "F",Exam_scores[[#This Row],[Exam score]]&lt;=30,"E",Exam_scores[[#This Row],[Exam score]]&lt;=40,"D",Exam_scores[[#This Row],[Exam score]]&lt;=45,"C",Exam_scores[[#This Row],[Exam score]]&lt;=49,"B",Exam_scores[[#This Row],[Exam score]]&gt;=50,"A")</f>
        <v>D</v>
      </c>
      <c r="H26">
        <v>39.200000000000003</v>
      </c>
    </row>
    <row r="27" spans="1:8" x14ac:dyDescent="0.35">
      <c r="A27" t="s">
        <v>25</v>
      </c>
      <c r="B27">
        <v>4.7</v>
      </c>
      <c r="C27">
        <v>6.9</v>
      </c>
      <c r="D27">
        <v>62.2</v>
      </c>
      <c r="E27" t="str" cm="1">
        <f t="array" ref="E27">_xlfn.IFS(Exam_scores[[#This Row],[Previous scores]]&lt;=40,"F",Exam_scores[[#This Row],[Previous scores]]&lt;=45,"E",Exam_scores[[#This Row],[Previous scores]]&lt;=49,"D",Exam_scores[[#This Row],[Previous scores]]&lt;=59,"C",Exam_scores[[#This Row],[Previous scores]]&lt;=80,"B",Exam_scores[[#This Row],[Previous scores]]&gt;=81,"A")</f>
        <v>B</v>
      </c>
      <c r="F27">
        <v>63</v>
      </c>
      <c r="G27" t="str" cm="1">
        <f t="array" ref="G27">_xlfn.IFS(Exam_scores[[#This Row],[Exam score]]&lt;=20, "F",Exam_scores[[#This Row],[Exam score]]&lt;=30,"E",Exam_scores[[#This Row],[Exam score]]&lt;=40,"D",Exam_scores[[#This Row],[Exam score]]&lt;=45,"C",Exam_scores[[#This Row],[Exam score]]&lt;=49,"B",Exam_scores[[#This Row],[Exam score]]&gt;=50,"A")</f>
        <v>E</v>
      </c>
      <c r="H27">
        <v>30</v>
      </c>
    </row>
    <row r="28" spans="1:8" x14ac:dyDescent="0.35">
      <c r="A28" t="s">
        <v>26</v>
      </c>
      <c r="B28">
        <v>2</v>
      </c>
      <c r="C28">
        <v>6.5</v>
      </c>
      <c r="D28">
        <v>82.8</v>
      </c>
      <c r="E28" t="str" cm="1">
        <f t="array" ref="E28">_xlfn.IFS(Exam_scores[[#This Row],[Previous scores]]&lt;=40,"F",Exam_scores[[#This Row],[Previous scores]]&lt;=45,"E",Exam_scores[[#This Row],[Previous scores]]&lt;=49,"D",Exam_scores[[#This Row],[Previous scores]]&lt;=59,"C",Exam_scores[[#This Row],[Previous scores]]&lt;=80,"B",Exam_scores[[#This Row],[Previous scores]]&gt;=81,"A")</f>
        <v>B</v>
      </c>
      <c r="F28">
        <v>70</v>
      </c>
      <c r="G28" t="str" cm="1">
        <f t="array" ref="G28">_xlfn.IFS(Exam_scores[[#This Row],[Exam score]]&lt;=20, "F",Exam_scores[[#This Row],[Exam score]]&lt;=30,"E",Exam_scores[[#This Row],[Exam score]]&lt;=40,"D",Exam_scores[[#This Row],[Exam score]]&lt;=45,"C",Exam_scores[[#This Row],[Exam score]]&lt;=49,"B",Exam_scores[[#This Row],[Exam score]]&gt;=50,"A")</f>
        <v>E</v>
      </c>
      <c r="H28">
        <v>29</v>
      </c>
    </row>
    <row r="29" spans="1:8" x14ac:dyDescent="0.35">
      <c r="A29" t="s">
        <v>27</v>
      </c>
      <c r="B29">
        <v>2.1</v>
      </c>
      <c r="C29">
        <v>8.3000000000000007</v>
      </c>
      <c r="D29">
        <v>50.3</v>
      </c>
      <c r="E29" t="str" cm="1">
        <f t="array" ref="E29">_xlfn.IFS(Exam_scores[[#This Row],[Previous scores]]&lt;=40,"F",Exam_scores[[#This Row],[Previous scores]]&lt;=45,"E",Exam_scores[[#This Row],[Previous scores]]&lt;=49,"D",Exam_scores[[#This Row],[Previous scores]]&lt;=59,"C",Exam_scores[[#This Row],[Previous scores]]&lt;=80,"B",Exam_scores[[#This Row],[Previous scores]]&gt;=81,"A")</f>
        <v>B</v>
      </c>
      <c r="F29">
        <v>75</v>
      </c>
      <c r="G29" t="str" cm="1">
        <f t="array" ref="G29">_xlfn.IFS(Exam_scores[[#This Row],[Exam score]]&lt;=20, "F",Exam_scores[[#This Row],[Exam score]]&lt;=30,"E",Exam_scores[[#This Row],[Exam score]]&lt;=40,"D",Exam_scores[[#This Row],[Exam score]]&lt;=45,"C",Exam_scores[[#This Row],[Exam score]]&lt;=49,"B",Exam_scores[[#This Row],[Exam score]]&gt;=50,"A")</f>
        <v>E</v>
      </c>
      <c r="H29">
        <v>26.5</v>
      </c>
    </row>
    <row r="30" spans="1:8" x14ac:dyDescent="0.35">
      <c r="A30" t="s">
        <v>28</v>
      </c>
      <c r="B30">
        <v>10.3</v>
      </c>
      <c r="C30">
        <v>4.8</v>
      </c>
      <c r="D30">
        <v>87.5</v>
      </c>
      <c r="E30" t="str" cm="1">
        <f t="array" ref="E30">_xlfn.IFS(Exam_scores[[#This Row],[Previous scores]]&lt;=40,"F",Exam_scores[[#This Row],[Previous scores]]&lt;=45,"E",Exam_scores[[#This Row],[Previous scores]]&lt;=49,"D",Exam_scores[[#This Row],[Previous scores]]&lt;=59,"C",Exam_scores[[#This Row],[Previous scores]]&lt;=80,"B",Exam_scores[[#This Row],[Previous scores]]&gt;=81,"A")</f>
        <v>B</v>
      </c>
      <c r="F30">
        <v>73</v>
      </c>
      <c r="G30" t="str" cm="1">
        <f t="array" ref="G30">_xlfn.IFS(Exam_scores[[#This Row],[Exam score]]&lt;=20, "F",Exam_scores[[#This Row],[Exam score]]&lt;=30,"E",Exam_scores[[#This Row],[Exam score]]&lt;=40,"D",Exam_scores[[#This Row],[Exam score]]&lt;=45,"C",Exam_scores[[#This Row],[Exam score]]&lt;=49,"B",Exam_scores[[#This Row],[Exam score]]&gt;=50,"A")</f>
        <v>D</v>
      </c>
      <c r="H30">
        <v>37.200000000000003</v>
      </c>
    </row>
    <row r="31" spans="1:8" x14ac:dyDescent="0.35">
      <c r="A31" t="s">
        <v>29</v>
      </c>
      <c r="B31">
        <v>7.6</v>
      </c>
      <c r="C31">
        <v>8.8000000000000007</v>
      </c>
      <c r="D31">
        <v>88.5</v>
      </c>
      <c r="E31" t="str" cm="1">
        <f t="array" ref="E31">_xlfn.IFS(Exam_scores[[#This Row],[Previous scores]]&lt;=40,"F",Exam_scores[[#This Row],[Previous scores]]&lt;=45,"E",Exam_scores[[#This Row],[Previous scores]]&lt;=49,"D",Exam_scores[[#This Row],[Previous scores]]&lt;=59,"C",Exam_scores[[#This Row],[Previous scores]]&lt;=80,"B",Exam_scores[[#This Row],[Previous scores]]&gt;=81,"A")</f>
        <v>B</v>
      </c>
      <c r="F31">
        <v>62</v>
      </c>
      <c r="G31" t="str" cm="1">
        <f t="array" ref="G31">_xlfn.IFS(Exam_scores[[#This Row],[Exam score]]&lt;=20, "F",Exam_scores[[#This Row],[Exam score]]&lt;=30,"E",Exam_scores[[#This Row],[Exam score]]&lt;=40,"D",Exam_scores[[#This Row],[Exam score]]&lt;=45,"C",Exam_scores[[#This Row],[Exam score]]&lt;=49,"B",Exam_scores[[#This Row],[Exam score]]&gt;=50,"A")</f>
        <v>D</v>
      </c>
      <c r="H31">
        <v>36.200000000000003</v>
      </c>
    </row>
    <row r="32" spans="1:8" x14ac:dyDescent="0.35">
      <c r="A32" t="s">
        <v>30</v>
      </c>
      <c r="B32">
        <v>9.9</v>
      </c>
      <c r="C32">
        <v>4.4000000000000004</v>
      </c>
      <c r="D32">
        <v>55.3</v>
      </c>
      <c r="E32" t="str" cm="1">
        <f t="array" ref="E32">_xlfn.IFS(Exam_scores[[#This Row],[Previous scores]]&lt;=40,"F",Exam_scores[[#This Row],[Previous scores]]&lt;=45,"E",Exam_scores[[#This Row],[Previous scores]]&lt;=49,"D",Exam_scores[[#This Row],[Previous scores]]&lt;=59,"C",Exam_scores[[#This Row],[Previous scores]]&lt;=80,"B",Exam_scores[[#This Row],[Previous scores]]&gt;=81,"A")</f>
        <v>B</v>
      </c>
      <c r="F32">
        <v>67</v>
      </c>
      <c r="G32" t="str" cm="1">
        <f t="array" ref="G32">_xlfn.IFS(Exam_scores[[#This Row],[Exam score]]&lt;=20, "F",Exam_scores[[#This Row],[Exam score]]&lt;=30,"E",Exam_scores[[#This Row],[Exam score]]&lt;=40,"D",Exam_scores[[#This Row],[Exam score]]&lt;=45,"C",Exam_scores[[#This Row],[Exam score]]&lt;=49,"B",Exam_scores[[#This Row],[Exam score]]&gt;=50,"A")</f>
        <v>D</v>
      </c>
      <c r="H32">
        <v>34.5</v>
      </c>
    </row>
    <row r="33" spans="1:8" x14ac:dyDescent="0.35">
      <c r="A33" t="s">
        <v>31</v>
      </c>
      <c r="B33">
        <v>9</v>
      </c>
      <c r="C33">
        <v>4.9000000000000004</v>
      </c>
      <c r="D33">
        <v>71.3</v>
      </c>
      <c r="E33" t="str" cm="1">
        <f t="array" ref="E33">_xlfn.IFS(Exam_scores[[#This Row],[Previous scores]]&lt;=40,"F",Exam_scores[[#This Row],[Previous scores]]&lt;=45,"E",Exam_scores[[#This Row],[Previous scores]]&lt;=49,"D",Exam_scores[[#This Row],[Previous scores]]&lt;=59,"C",Exam_scores[[#This Row],[Previous scores]]&lt;=80,"B",Exam_scores[[#This Row],[Previous scores]]&gt;=81,"A")</f>
        <v>A</v>
      </c>
      <c r="F33">
        <v>87</v>
      </c>
      <c r="G33" t="str" cm="1">
        <f t="array" ref="G33">_xlfn.IFS(Exam_scores[[#This Row],[Exam score]]&lt;=20, "F",Exam_scores[[#This Row],[Exam score]]&lt;=30,"E",Exam_scores[[#This Row],[Exam score]]&lt;=40,"D",Exam_scores[[#This Row],[Exam score]]&lt;=45,"C",Exam_scores[[#This Row],[Exam score]]&lt;=49,"B",Exam_scores[[#This Row],[Exam score]]&gt;=50,"A")</f>
        <v>C</v>
      </c>
      <c r="H33">
        <v>41.6</v>
      </c>
    </row>
    <row r="34" spans="1:8" x14ac:dyDescent="0.35">
      <c r="A34" t="s">
        <v>32</v>
      </c>
      <c r="B34">
        <v>6.9</v>
      </c>
      <c r="C34">
        <v>7</v>
      </c>
      <c r="D34">
        <v>58.8</v>
      </c>
      <c r="E34" t="str" cm="1">
        <f t="array" ref="E34">_xlfn.IFS(Exam_scores[[#This Row],[Previous scores]]&lt;=40,"F",Exam_scores[[#This Row],[Previous scores]]&lt;=45,"E",Exam_scores[[#This Row],[Previous scores]]&lt;=49,"D",Exam_scores[[#This Row],[Previous scores]]&lt;=59,"C",Exam_scores[[#This Row],[Previous scores]]&lt;=80,"B",Exam_scores[[#This Row],[Previous scores]]&gt;=81,"A")</f>
        <v>B</v>
      </c>
      <c r="F34">
        <v>75</v>
      </c>
      <c r="G34" t="str" cm="1">
        <f t="array" ref="G34">_xlfn.IFS(Exam_scores[[#This Row],[Exam score]]&lt;=20, "F",Exam_scores[[#This Row],[Exam score]]&lt;=30,"E",Exam_scores[[#This Row],[Exam score]]&lt;=40,"D",Exam_scores[[#This Row],[Exam score]]&lt;=45,"C",Exam_scores[[#This Row],[Exam score]]&lt;=49,"B",Exam_scores[[#This Row],[Exam score]]&gt;=50,"A")</f>
        <v>D</v>
      </c>
      <c r="H34">
        <v>38.1</v>
      </c>
    </row>
    <row r="35" spans="1:8" x14ac:dyDescent="0.35">
      <c r="A35" t="s">
        <v>33</v>
      </c>
      <c r="B35">
        <v>11.7</v>
      </c>
      <c r="C35">
        <v>7.4</v>
      </c>
      <c r="D35">
        <v>97.9</v>
      </c>
      <c r="E35" t="str" cm="1">
        <f t="array" ref="E35">_xlfn.IFS(Exam_scores[[#This Row],[Previous scores]]&lt;=40,"F",Exam_scores[[#This Row],[Previous scores]]&lt;=45,"E",Exam_scores[[#This Row],[Previous scores]]&lt;=49,"D",Exam_scores[[#This Row],[Previous scores]]&lt;=59,"C",Exam_scores[[#This Row],[Previous scores]]&lt;=80,"B",Exam_scores[[#This Row],[Previous scores]]&gt;=81,"A")</f>
        <v>B</v>
      </c>
      <c r="F35">
        <v>61</v>
      </c>
      <c r="G35" t="str" cm="1">
        <f t="array" ref="G35">_xlfn.IFS(Exam_scores[[#This Row],[Exam score]]&lt;=20, "F",Exam_scores[[#This Row],[Exam score]]&lt;=30,"E",Exam_scores[[#This Row],[Exam score]]&lt;=40,"D",Exam_scores[[#This Row],[Exam score]]&lt;=45,"C",Exam_scores[[#This Row],[Exam score]]&lt;=49,"B",Exam_scores[[#This Row],[Exam score]]&gt;=50,"A")</f>
        <v>C</v>
      </c>
      <c r="H35">
        <v>42.7</v>
      </c>
    </row>
    <row r="36" spans="1:8" x14ac:dyDescent="0.35">
      <c r="A36" t="s">
        <v>34</v>
      </c>
      <c r="B36">
        <v>5.2</v>
      </c>
      <c r="C36">
        <v>5.2</v>
      </c>
      <c r="D36">
        <v>75.900000000000006</v>
      </c>
      <c r="E36" t="str" cm="1">
        <f t="array" ref="E36">_xlfn.IFS(Exam_scores[[#This Row],[Previous scores]]&lt;=40,"F",Exam_scores[[#This Row],[Previous scores]]&lt;=45,"E",Exam_scores[[#This Row],[Previous scores]]&lt;=49,"D",Exam_scores[[#This Row],[Previous scores]]&lt;=59,"C",Exam_scores[[#This Row],[Previous scores]]&lt;=80,"B",Exam_scores[[#This Row],[Previous scores]]&gt;=81,"A")</f>
        <v>B</v>
      </c>
      <c r="F36">
        <v>62</v>
      </c>
      <c r="G36" t="str" cm="1">
        <f t="array" ref="G36">_xlfn.IFS(Exam_scores[[#This Row],[Exam score]]&lt;=20, "F",Exam_scores[[#This Row],[Exam score]]&lt;=30,"E",Exam_scores[[#This Row],[Exam score]]&lt;=40,"D",Exam_scores[[#This Row],[Exam score]]&lt;=45,"C",Exam_scores[[#This Row],[Exam score]]&lt;=49,"B",Exam_scores[[#This Row],[Exam score]]&gt;=50,"A")</f>
        <v>D</v>
      </c>
      <c r="H36">
        <v>32</v>
      </c>
    </row>
    <row r="37" spans="1:8" x14ac:dyDescent="0.35">
      <c r="A37" t="s">
        <v>35</v>
      </c>
      <c r="B37">
        <v>7.1</v>
      </c>
      <c r="C37">
        <v>4.5999999999999996</v>
      </c>
      <c r="D37">
        <v>52.5</v>
      </c>
      <c r="E37" t="str" cm="1">
        <f t="array" ref="E37">_xlfn.IFS(Exam_scores[[#This Row],[Previous scores]]&lt;=40,"F",Exam_scores[[#This Row],[Previous scores]]&lt;=45,"E",Exam_scores[[#This Row],[Previous scores]]&lt;=49,"D",Exam_scores[[#This Row],[Previous scores]]&lt;=59,"C",Exam_scores[[#This Row],[Previous scores]]&lt;=80,"B",Exam_scores[[#This Row],[Previous scores]]&gt;=81,"A")</f>
        <v>A</v>
      </c>
      <c r="F37">
        <v>84</v>
      </c>
      <c r="G37" t="str" cm="1">
        <f t="array" ref="G37">_xlfn.IFS(Exam_scores[[#This Row],[Exam score]]&lt;=20, "F",Exam_scores[[#This Row],[Exam score]]&lt;=30,"E",Exam_scores[[#This Row],[Exam score]]&lt;=40,"D",Exam_scores[[#This Row],[Exam score]]&lt;=45,"C",Exam_scores[[#This Row],[Exam score]]&lt;=49,"B",Exam_scores[[#This Row],[Exam score]]&gt;=50,"A")</f>
        <v>D</v>
      </c>
      <c r="H37">
        <v>32</v>
      </c>
    </row>
    <row r="38" spans="1:8" x14ac:dyDescent="0.35">
      <c r="A38" t="s">
        <v>36</v>
      </c>
      <c r="B38">
        <v>10.1</v>
      </c>
      <c r="C38">
        <v>8.5</v>
      </c>
      <c r="D38">
        <v>62.5</v>
      </c>
      <c r="E38" t="str" cm="1">
        <f t="array" ref="E38">_xlfn.IFS(Exam_scores[[#This Row],[Previous scores]]&lt;=40,"F",Exam_scores[[#This Row],[Previous scores]]&lt;=45,"E",Exam_scores[[#This Row],[Previous scores]]&lt;=49,"D",Exam_scores[[#This Row],[Previous scores]]&lt;=59,"C",Exam_scores[[#This Row],[Previous scores]]&lt;=80,"B",Exam_scores[[#This Row],[Previous scores]]&gt;=81,"A")</f>
        <v>B</v>
      </c>
      <c r="F38">
        <v>69</v>
      </c>
      <c r="G38" t="str" cm="1">
        <f t="array" ref="G38">_xlfn.IFS(Exam_scores[[#This Row],[Exam score]]&lt;=20, "F",Exam_scores[[#This Row],[Exam score]]&lt;=30,"E",Exam_scores[[#This Row],[Exam score]]&lt;=40,"D",Exam_scores[[#This Row],[Exam score]]&lt;=45,"C",Exam_scores[[#This Row],[Exam score]]&lt;=49,"B",Exam_scores[[#This Row],[Exam score]]&gt;=50,"A")</f>
        <v>C</v>
      </c>
      <c r="H38">
        <v>44.7</v>
      </c>
    </row>
    <row r="39" spans="1:8" x14ac:dyDescent="0.35">
      <c r="A39" t="s">
        <v>37</v>
      </c>
      <c r="B39">
        <v>7.8</v>
      </c>
      <c r="C39">
        <v>5.2</v>
      </c>
      <c r="D39">
        <v>92.4</v>
      </c>
      <c r="E39" t="str" cm="1">
        <f t="array" ref="E39">_xlfn.IFS(Exam_scores[[#This Row],[Previous scores]]&lt;=40,"F",Exam_scores[[#This Row],[Previous scores]]&lt;=45,"E",Exam_scores[[#This Row],[Previous scores]]&lt;=49,"D",Exam_scores[[#This Row],[Previous scores]]&lt;=59,"C",Exam_scores[[#This Row],[Previous scores]]&lt;=80,"B",Exam_scores[[#This Row],[Previous scores]]&gt;=81,"A")</f>
        <v>C</v>
      </c>
      <c r="F39">
        <v>57</v>
      </c>
      <c r="G39" t="str" cm="1">
        <f t="array" ref="G39">_xlfn.IFS(Exam_scores[[#This Row],[Exam score]]&lt;=20, "F",Exam_scores[[#This Row],[Exam score]]&lt;=30,"E",Exam_scores[[#This Row],[Exam score]]&lt;=40,"D",Exam_scores[[#This Row],[Exam score]]&lt;=45,"C",Exam_scores[[#This Row],[Exam score]]&lt;=49,"B",Exam_scores[[#This Row],[Exam score]]&gt;=50,"A")</f>
        <v>D</v>
      </c>
      <c r="H39">
        <v>38.299999999999997</v>
      </c>
    </row>
    <row r="40" spans="1:8" x14ac:dyDescent="0.35">
      <c r="A40" t="s">
        <v>38</v>
      </c>
      <c r="B40">
        <v>10.5</v>
      </c>
      <c r="C40">
        <v>7</v>
      </c>
      <c r="D40">
        <v>72.8</v>
      </c>
      <c r="E40" t="str" cm="1">
        <f t="array" ref="E40">_xlfn.IFS(Exam_scores[[#This Row],[Previous scores]]&lt;=40,"F",Exam_scores[[#This Row],[Previous scores]]&lt;=45,"E",Exam_scores[[#This Row],[Previous scores]]&lt;=49,"D",Exam_scores[[#This Row],[Previous scores]]&lt;=59,"C",Exam_scores[[#This Row],[Previous scores]]&lt;=80,"B",Exam_scores[[#This Row],[Previous scores]]&gt;=81,"A")</f>
        <v>C</v>
      </c>
      <c r="F40">
        <v>59</v>
      </c>
      <c r="G40" t="str" cm="1">
        <f t="array" ref="G40">_xlfn.IFS(Exam_scores[[#This Row],[Exam score]]&lt;=20, "F",Exam_scores[[#This Row],[Exam score]]&lt;=30,"E",Exam_scores[[#This Row],[Exam score]]&lt;=40,"D",Exam_scores[[#This Row],[Exam score]]&lt;=45,"C",Exam_scores[[#This Row],[Exam score]]&lt;=49,"B",Exam_scores[[#This Row],[Exam score]]&gt;=50,"A")</f>
        <v>D</v>
      </c>
      <c r="H40">
        <v>39.799999999999997</v>
      </c>
    </row>
    <row r="41" spans="1:8" x14ac:dyDescent="0.35">
      <c r="A41" t="s">
        <v>39</v>
      </c>
      <c r="B41">
        <v>7.4</v>
      </c>
      <c r="C41">
        <v>7.1</v>
      </c>
      <c r="D41">
        <v>90.1</v>
      </c>
      <c r="E41" t="str" cm="1">
        <f t="array" ref="E41">_xlfn.IFS(Exam_scores[[#This Row],[Previous scores]]&lt;=40,"F",Exam_scores[[#This Row],[Previous scores]]&lt;=45,"E",Exam_scores[[#This Row],[Previous scores]]&lt;=49,"D",Exam_scores[[#This Row],[Previous scores]]&lt;=59,"C",Exam_scores[[#This Row],[Previous scores]]&lt;=80,"B",Exam_scores[[#This Row],[Previous scores]]&gt;=81,"A")</f>
        <v>C</v>
      </c>
      <c r="F41">
        <v>56</v>
      </c>
      <c r="G41" t="str" cm="1">
        <f t="array" ref="G41">_xlfn.IFS(Exam_scores[[#This Row],[Exam score]]&lt;=20, "F",Exam_scores[[#This Row],[Exam score]]&lt;=30,"E",Exam_scores[[#This Row],[Exam score]]&lt;=40,"D",Exam_scores[[#This Row],[Exam score]]&lt;=45,"C",Exam_scores[[#This Row],[Exam score]]&lt;=49,"B",Exam_scores[[#This Row],[Exam score]]&gt;=50,"A")</f>
        <v>D</v>
      </c>
      <c r="H41">
        <v>35</v>
      </c>
    </row>
    <row r="42" spans="1:8" x14ac:dyDescent="0.35">
      <c r="A42" t="s">
        <v>40</v>
      </c>
      <c r="B42">
        <v>8.8000000000000007</v>
      </c>
      <c r="C42">
        <v>6.1</v>
      </c>
      <c r="D42">
        <v>83.4</v>
      </c>
      <c r="E42" t="str" cm="1">
        <f t="array" ref="E42">_xlfn.IFS(Exam_scores[[#This Row],[Previous scores]]&lt;=40,"F",Exam_scores[[#This Row],[Previous scores]]&lt;=45,"E",Exam_scores[[#This Row],[Previous scores]]&lt;=49,"D",Exam_scores[[#This Row],[Previous scores]]&lt;=59,"C",Exam_scores[[#This Row],[Previous scores]]&lt;=80,"B",Exam_scores[[#This Row],[Previous scores]]&gt;=81,"A")</f>
        <v>C</v>
      </c>
      <c r="F42">
        <v>54</v>
      </c>
      <c r="G42" t="str" cm="1">
        <f t="array" ref="G42">_xlfn.IFS(Exam_scores[[#This Row],[Exam score]]&lt;=20, "F",Exam_scores[[#This Row],[Exam score]]&lt;=30,"E",Exam_scores[[#This Row],[Exam score]]&lt;=40,"D",Exam_scores[[#This Row],[Exam score]]&lt;=45,"C",Exam_scores[[#This Row],[Exam score]]&lt;=49,"B",Exam_scores[[#This Row],[Exam score]]&gt;=50,"A")</f>
        <v>D</v>
      </c>
      <c r="H42">
        <v>34.200000000000003</v>
      </c>
    </row>
    <row r="43" spans="1:8" x14ac:dyDescent="0.35">
      <c r="A43" t="s">
        <v>41</v>
      </c>
      <c r="B43">
        <v>1.5</v>
      </c>
      <c r="C43">
        <v>6.9</v>
      </c>
      <c r="D43">
        <v>99.4</v>
      </c>
      <c r="E43" t="str" cm="1">
        <f t="array" ref="E43">_xlfn.IFS(Exam_scores[[#This Row],[Previous scores]]&lt;=40,"F",Exam_scores[[#This Row],[Previous scores]]&lt;=45,"E",Exam_scores[[#This Row],[Previous scores]]&lt;=49,"D",Exam_scores[[#This Row],[Previous scores]]&lt;=59,"C",Exam_scores[[#This Row],[Previous scores]]&lt;=80,"B",Exam_scores[[#This Row],[Previous scores]]&gt;=81,"A")</f>
        <v>D</v>
      </c>
      <c r="F43">
        <v>47</v>
      </c>
      <c r="G43" t="str" cm="1">
        <f t="array" ref="G43">_xlfn.IFS(Exam_scores[[#This Row],[Exam score]]&lt;=20, "F",Exam_scores[[#This Row],[Exam score]]&lt;=30,"E",Exam_scores[[#This Row],[Exam score]]&lt;=40,"D",Exam_scores[[#This Row],[Exam score]]&lt;=45,"C",Exam_scores[[#This Row],[Exam score]]&lt;=49,"B",Exam_scores[[#This Row],[Exam score]]&gt;=50,"A")</f>
        <v>E</v>
      </c>
      <c r="H43">
        <v>23.1</v>
      </c>
    </row>
    <row r="44" spans="1:8" x14ac:dyDescent="0.35">
      <c r="A44" t="s">
        <v>42</v>
      </c>
      <c r="B44">
        <v>3.5</v>
      </c>
      <c r="C44">
        <v>6.6</v>
      </c>
      <c r="D44">
        <v>79.8</v>
      </c>
      <c r="E44" t="str" cm="1">
        <f t="array" ref="E44">_xlfn.IFS(Exam_scores[[#This Row],[Previous scores]]&lt;=40,"F",Exam_scores[[#This Row],[Previous scores]]&lt;=45,"E",Exam_scores[[#This Row],[Previous scores]]&lt;=49,"D",Exam_scores[[#This Row],[Previous scores]]&lt;=59,"C",Exam_scores[[#This Row],[Previous scores]]&lt;=80,"B",Exam_scores[[#This Row],[Previous scores]]&gt;=81,"A")</f>
        <v>A</v>
      </c>
      <c r="F44">
        <v>86</v>
      </c>
      <c r="G44" t="str" cm="1">
        <f t="array" ref="G44">_xlfn.IFS(Exam_scores[[#This Row],[Exam score]]&lt;=20, "F",Exam_scores[[#This Row],[Exam score]]&lt;=30,"E",Exam_scores[[#This Row],[Exam score]]&lt;=40,"D",Exam_scores[[#This Row],[Exam score]]&lt;=45,"C",Exam_scores[[#This Row],[Exam score]]&lt;=49,"B",Exam_scores[[#This Row],[Exam score]]&gt;=50,"A")</f>
        <v>D</v>
      </c>
      <c r="H44">
        <v>37.200000000000003</v>
      </c>
    </row>
    <row r="45" spans="1:8" x14ac:dyDescent="0.35">
      <c r="A45" t="s">
        <v>43</v>
      </c>
      <c r="B45">
        <v>4.2</v>
      </c>
      <c r="C45">
        <v>8.6999999999999993</v>
      </c>
      <c r="D45">
        <v>97.5</v>
      </c>
      <c r="E45" t="str" cm="1">
        <f t="array" ref="E45">_xlfn.IFS(Exam_scores[[#This Row],[Previous scores]]&lt;=40,"F",Exam_scores[[#This Row],[Previous scores]]&lt;=45,"E",Exam_scores[[#This Row],[Previous scores]]&lt;=49,"D",Exam_scores[[#This Row],[Previous scores]]&lt;=59,"C",Exam_scores[[#This Row],[Previous scores]]&lt;=80,"B",Exam_scores[[#This Row],[Previous scores]]&gt;=81,"A")</f>
        <v>C</v>
      </c>
      <c r="F45">
        <v>52</v>
      </c>
      <c r="G45" t="str" cm="1">
        <f t="array" ref="G45">_xlfn.IFS(Exam_scores[[#This Row],[Exam score]]&lt;=20, "F",Exam_scores[[#This Row],[Exam score]]&lt;=30,"E",Exam_scores[[#This Row],[Exam score]]&lt;=40,"D",Exam_scores[[#This Row],[Exam score]]&lt;=45,"C",Exam_scores[[#This Row],[Exam score]]&lt;=49,"B",Exam_scores[[#This Row],[Exam score]]&gt;=50,"A")</f>
        <v>D</v>
      </c>
      <c r="H45">
        <v>30.3</v>
      </c>
    </row>
    <row r="46" spans="1:8" x14ac:dyDescent="0.35">
      <c r="A46" t="s">
        <v>44</v>
      </c>
      <c r="B46">
        <v>1.9</v>
      </c>
      <c r="C46">
        <v>5</v>
      </c>
      <c r="D46">
        <v>94.6</v>
      </c>
      <c r="E46" t="str" cm="1">
        <f t="array" ref="E46">_xlfn.IFS(Exam_scores[[#This Row],[Previous scores]]&lt;=40,"F",Exam_scores[[#This Row],[Previous scores]]&lt;=45,"E",Exam_scores[[#This Row],[Previous scores]]&lt;=49,"D",Exam_scores[[#This Row],[Previous scores]]&lt;=59,"C",Exam_scores[[#This Row],[Previous scores]]&lt;=80,"B",Exam_scores[[#This Row],[Previous scores]]&gt;=81,"A")</f>
        <v>B</v>
      </c>
      <c r="F46">
        <v>60</v>
      </c>
      <c r="G46" t="str" cm="1">
        <f t="array" ref="G46">_xlfn.IFS(Exam_scores[[#This Row],[Exam score]]&lt;=20, "F",Exam_scores[[#This Row],[Exam score]]&lt;=30,"E",Exam_scores[[#This Row],[Exam score]]&lt;=40,"D",Exam_scores[[#This Row],[Exam score]]&lt;=45,"C",Exam_scores[[#This Row],[Exam score]]&lt;=49,"B",Exam_scores[[#This Row],[Exam score]]&gt;=50,"A")</f>
        <v>E</v>
      </c>
      <c r="H46">
        <v>26.1</v>
      </c>
    </row>
    <row r="47" spans="1:8" x14ac:dyDescent="0.35">
      <c r="A47" t="s">
        <v>45</v>
      </c>
      <c r="B47">
        <v>3.6</v>
      </c>
      <c r="C47">
        <v>7.6</v>
      </c>
      <c r="D47">
        <v>80.599999999999994</v>
      </c>
      <c r="E47" t="str" cm="1">
        <f t="array" ref="E47">_xlfn.IFS(Exam_scores[[#This Row],[Previous scores]]&lt;=40,"F",Exam_scores[[#This Row],[Previous scores]]&lt;=45,"E",Exam_scores[[#This Row],[Previous scores]]&lt;=49,"D",Exam_scores[[#This Row],[Previous scores]]&lt;=59,"C",Exam_scores[[#This Row],[Previous scores]]&lt;=80,"B",Exam_scores[[#This Row],[Previous scores]]&gt;=81,"A")</f>
        <v>D</v>
      </c>
      <c r="F47">
        <v>47</v>
      </c>
      <c r="G47" t="str" cm="1">
        <f t="array" ref="G47">_xlfn.IFS(Exam_scores[[#This Row],[Exam score]]&lt;=20, "F",Exam_scores[[#This Row],[Exam score]]&lt;=30,"E",Exam_scores[[#This Row],[Exam score]]&lt;=40,"D",Exam_scores[[#This Row],[Exam score]]&lt;=45,"C",Exam_scores[[#This Row],[Exam score]]&lt;=49,"B",Exam_scores[[#This Row],[Exam score]]&gt;=50,"A")</f>
        <v>D</v>
      </c>
      <c r="H47">
        <v>31.8</v>
      </c>
    </row>
    <row r="48" spans="1:8" x14ac:dyDescent="0.35">
      <c r="A48" t="s">
        <v>46</v>
      </c>
      <c r="B48">
        <v>2.1</v>
      </c>
      <c r="C48">
        <v>5.2</v>
      </c>
      <c r="D48">
        <v>86</v>
      </c>
      <c r="E48" t="str" cm="1">
        <f t="array" ref="E48">_xlfn.IFS(Exam_scores[[#This Row],[Previous scores]]&lt;=40,"F",Exam_scores[[#This Row],[Previous scores]]&lt;=45,"E",Exam_scores[[#This Row],[Previous scores]]&lt;=49,"D",Exam_scores[[#This Row],[Previous scores]]&lt;=59,"C",Exam_scores[[#This Row],[Previous scores]]&lt;=80,"B",Exam_scores[[#This Row],[Previous scores]]&gt;=81,"A")</f>
        <v>A</v>
      </c>
      <c r="F48">
        <v>87</v>
      </c>
      <c r="G48" t="str" cm="1">
        <f t="array" ref="G48">_xlfn.IFS(Exam_scores[[#This Row],[Exam score]]&lt;=20, "F",Exam_scores[[#This Row],[Exam score]]&lt;=30,"E",Exam_scores[[#This Row],[Exam score]]&lt;=40,"D",Exam_scores[[#This Row],[Exam score]]&lt;=45,"C",Exam_scores[[#This Row],[Exam score]]&lt;=49,"B",Exam_scores[[#This Row],[Exam score]]&gt;=50,"A")</f>
        <v>D</v>
      </c>
      <c r="H48">
        <v>31.6</v>
      </c>
    </row>
    <row r="49" spans="1:8" x14ac:dyDescent="0.35">
      <c r="A49" t="s">
        <v>47</v>
      </c>
      <c r="B49">
        <v>4.0999999999999996</v>
      </c>
      <c r="C49">
        <v>6</v>
      </c>
      <c r="D49">
        <v>75.2</v>
      </c>
      <c r="E49" t="str" cm="1">
        <f t="array" ref="E49">_xlfn.IFS(Exam_scores[[#This Row],[Previous scores]]&lt;=40,"F",Exam_scores[[#This Row],[Previous scores]]&lt;=45,"E",Exam_scores[[#This Row],[Previous scores]]&lt;=49,"D",Exam_scores[[#This Row],[Previous scores]]&lt;=59,"C",Exam_scores[[#This Row],[Previous scores]]&lt;=80,"B",Exam_scores[[#This Row],[Previous scores]]&gt;=81,"A")</f>
        <v>B</v>
      </c>
      <c r="F49">
        <v>74</v>
      </c>
      <c r="G49" t="str" cm="1">
        <f t="array" ref="G49">_xlfn.IFS(Exam_scores[[#This Row],[Exam score]]&lt;=20, "F",Exam_scores[[#This Row],[Exam score]]&lt;=30,"E",Exam_scores[[#This Row],[Exam score]]&lt;=40,"D",Exam_scores[[#This Row],[Exam score]]&lt;=45,"C",Exam_scores[[#This Row],[Exam score]]&lt;=49,"B",Exam_scores[[#This Row],[Exam score]]&gt;=50,"A")</f>
        <v>D</v>
      </c>
      <c r="H49">
        <v>31.1</v>
      </c>
    </row>
    <row r="50" spans="1:8" x14ac:dyDescent="0.35">
      <c r="A50" t="s">
        <v>48</v>
      </c>
      <c r="B50">
        <v>8</v>
      </c>
      <c r="C50">
        <v>7.4</v>
      </c>
      <c r="D50">
        <v>91.5</v>
      </c>
      <c r="E50" t="str" cm="1">
        <f t="array" ref="E50">_xlfn.IFS(Exam_scores[[#This Row],[Previous scores]]&lt;=40,"F",Exam_scores[[#This Row],[Previous scores]]&lt;=45,"E",Exam_scores[[#This Row],[Previous scores]]&lt;=49,"D",Exam_scores[[#This Row],[Previous scores]]&lt;=59,"C",Exam_scores[[#This Row],[Previous scores]]&lt;=80,"B",Exam_scores[[#This Row],[Previous scores]]&gt;=81,"A")</f>
        <v>A</v>
      </c>
      <c r="F50">
        <v>88</v>
      </c>
      <c r="G50" t="str" cm="1">
        <f t="array" ref="G50">_xlfn.IFS(Exam_scores[[#This Row],[Exam score]]&lt;=20, "F",Exam_scores[[#This Row],[Exam score]]&lt;=30,"E",Exam_scores[[#This Row],[Exam score]]&lt;=40,"D",Exam_scores[[#This Row],[Exam score]]&lt;=45,"C",Exam_scores[[#This Row],[Exam score]]&lt;=49,"B",Exam_scores[[#This Row],[Exam score]]&gt;=50,"A")</f>
        <v>C</v>
      </c>
      <c r="H50">
        <v>41.2</v>
      </c>
    </row>
    <row r="51" spans="1:8" x14ac:dyDescent="0.35">
      <c r="A51" t="s">
        <v>49</v>
      </c>
      <c r="B51">
        <v>5</v>
      </c>
      <c r="C51">
        <v>5.5</v>
      </c>
      <c r="D51">
        <v>77.400000000000006</v>
      </c>
      <c r="E51" t="str" cm="1">
        <f t="array" ref="E51">_xlfn.IFS(Exam_scores[[#This Row],[Previous scores]]&lt;=40,"F",Exam_scores[[#This Row],[Previous scores]]&lt;=45,"E",Exam_scores[[#This Row],[Previous scores]]&lt;=49,"D",Exam_scores[[#This Row],[Previous scores]]&lt;=59,"C",Exam_scores[[#This Row],[Previous scores]]&lt;=80,"B",Exam_scores[[#This Row],[Previous scores]]&gt;=81,"A")</f>
        <v>A</v>
      </c>
      <c r="F51">
        <v>84</v>
      </c>
      <c r="G51" t="str" cm="1">
        <f t="array" ref="G51">_xlfn.IFS(Exam_scores[[#This Row],[Exam score]]&lt;=20, "F",Exam_scores[[#This Row],[Exam score]]&lt;=30,"E",Exam_scores[[#This Row],[Exam score]]&lt;=40,"D",Exam_scores[[#This Row],[Exam score]]&lt;=45,"C",Exam_scores[[#This Row],[Exam score]]&lt;=49,"B",Exam_scores[[#This Row],[Exam score]]&gt;=50,"A")</f>
        <v>D</v>
      </c>
      <c r="H51">
        <v>30.6</v>
      </c>
    </row>
    <row r="52" spans="1:8" x14ac:dyDescent="0.35">
      <c r="A52" t="s">
        <v>50</v>
      </c>
      <c r="B52">
        <v>5.0999999999999996</v>
      </c>
      <c r="C52">
        <v>5.6</v>
      </c>
      <c r="D52">
        <v>94.9</v>
      </c>
      <c r="E52" t="str" cm="1">
        <f t="array" ref="E52">_xlfn.IFS(Exam_scores[[#This Row],[Previous scores]]&lt;=40,"F",Exam_scores[[#This Row],[Previous scores]]&lt;=45,"E",Exam_scores[[#This Row],[Previous scores]]&lt;=49,"D",Exam_scores[[#This Row],[Previous scores]]&lt;=59,"C",Exam_scores[[#This Row],[Previous scores]]&lt;=80,"B",Exam_scores[[#This Row],[Previous scores]]&gt;=81,"A")</f>
        <v>C</v>
      </c>
      <c r="F52">
        <v>51</v>
      </c>
      <c r="G52" t="str" cm="1">
        <f t="array" ref="G52">_xlfn.IFS(Exam_scores[[#This Row],[Exam score]]&lt;=20, "F",Exam_scores[[#This Row],[Exam score]]&lt;=30,"E",Exam_scores[[#This Row],[Exam score]]&lt;=40,"D",Exam_scores[[#This Row],[Exam score]]&lt;=45,"C",Exam_scores[[#This Row],[Exam score]]&lt;=49,"B",Exam_scores[[#This Row],[Exam score]]&gt;=50,"A")</f>
        <v>E</v>
      </c>
      <c r="H52">
        <v>28.8</v>
      </c>
    </row>
    <row r="53" spans="1:8" x14ac:dyDescent="0.35">
      <c r="A53" t="s">
        <v>51</v>
      </c>
      <c r="B53">
        <v>3.3</v>
      </c>
      <c r="C53">
        <v>7.8</v>
      </c>
      <c r="D53">
        <v>87.2</v>
      </c>
      <c r="E53" t="str" cm="1">
        <f t="array" ref="E53">_xlfn.IFS(Exam_scores[[#This Row],[Previous scores]]&lt;=40,"F",Exam_scores[[#This Row],[Previous scores]]&lt;=45,"E",Exam_scores[[#This Row],[Previous scores]]&lt;=49,"D",Exam_scores[[#This Row],[Previous scores]]&lt;=59,"C",Exam_scores[[#This Row],[Previous scores]]&lt;=80,"B",Exam_scores[[#This Row],[Previous scores]]&gt;=81,"A")</f>
        <v>C</v>
      </c>
      <c r="F53">
        <v>52</v>
      </c>
      <c r="G53" t="str" cm="1">
        <f t="array" ref="G53">_xlfn.IFS(Exam_scores[[#This Row],[Exam score]]&lt;=20, "F",Exam_scores[[#This Row],[Exam score]]&lt;=30,"E",Exam_scores[[#This Row],[Exam score]]&lt;=40,"D",Exam_scores[[#This Row],[Exam score]]&lt;=45,"C",Exam_scores[[#This Row],[Exam score]]&lt;=49,"B",Exam_scores[[#This Row],[Exam score]]&gt;=50,"A")</f>
        <v>D</v>
      </c>
      <c r="H53">
        <v>30.7</v>
      </c>
    </row>
    <row r="54" spans="1:8" x14ac:dyDescent="0.35">
      <c r="A54" t="s">
        <v>52</v>
      </c>
      <c r="B54">
        <v>3.9</v>
      </c>
      <c r="C54">
        <v>4.4000000000000004</v>
      </c>
      <c r="D54">
        <v>73.7</v>
      </c>
      <c r="E54" t="str" cm="1">
        <f t="array" ref="E54">_xlfn.IFS(Exam_scores[[#This Row],[Previous scores]]&lt;=40,"F",Exam_scores[[#This Row],[Previous scores]]&lt;=45,"E",Exam_scores[[#This Row],[Previous scores]]&lt;=49,"D",Exam_scores[[#This Row],[Previous scores]]&lt;=59,"C",Exam_scores[[#This Row],[Previous scores]]&lt;=80,"B",Exam_scores[[#This Row],[Previous scores]]&gt;=81,"A")</f>
        <v>C</v>
      </c>
      <c r="F54">
        <v>53</v>
      </c>
      <c r="G54" t="str" cm="1">
        <f t="array" ref="G54">_xlfn.IFS(Exam_scores[[#This Row],[Exam score]]&lt;=20, "F",Exam_scores[[#This Row],[Exam score]]&lt;=30,"E",Exam_scores[[#This Row],[Exam score]]&lt;=40,"D",Exam_scores[[#This Row],[Exam score]]&lt;=45,"C",Exam_scores[[#This Row],[Exam score]]&lt;=49,"B",Exam_scores[[#This Row],[Exam score]]&gt;=50,"A")</f>
        <v>E</v>
      </c>
      <c r="H54">
        <v>26.9</v>
      </c>
    </row>
    <row r="55" spans="1:8" x14ac:dyDescent="0.35">
      <c r="A55" t="s">
        <v>53</v>
      </c>
      <c r="B55">
        <v>11.3</v>
      </c>
      <c r="C55">
        <v>6.3</v>
      </c>
      <c r="D55">
        <v>63</v>
      </c>
      <c r="E55" t="str" cm="1">
        <f t="array" ref="E55">_xlfn.IFS(Exam_scores[[#This Row],[Previous scores]]&lt;=40,"F",Exam_scores[[#This Row],[Previous scores]]&lt;=45,"E",Exam_scores[[#This Row],[Previous scores]]&lt;=49,"D",Exam_scores[[#This Row],[Previous scores]]&lt;=59,"C",Exam_scores[[#This Row],[Previous scores]]&lt;=80,"B",Exam_scores[[#This Row],[Previous scores]]&gt;=81,"A")</f>
        <v>A</v>
      </c>
      <c r="F55">
        <v>87</v>
      </c>
      <c r="G55" t="str" cm="1">
        <f t="array" ref="G55">_xlfn.IFS(Exam_scores[[#This Row],[Exam score]]&lt;=20, "F",Exam_scores[[#This Row],[Exam score]]&lt;=30,"E",Exam_scores[[#This Row],[Exam score]]&lt;=40,"D",Exam_scores[[#This Row],[Exam score]]&lt;=45,"C",Exam_scores[[#This Row],[Exam score]]&lt;=49,"B",Exam_scores[[#This Row],[Exam score]]&gt;=50,"A")</f>
        <v>B</v>
      </c>
      <c r="H55">
        <v>46.4</v>
      </c>
    </row>
    <row r="56" spans="1:8" x14ac:dyDescent="0.35">
      <c r="A56" t="s">
        <v>54</v>
      </c>
      <c r="B56">
        <v>8.1</v>
      </c>
      <c r="C56">
        <v>9</v>
      </c>
      <c r="D56">
        <v>62.4</v>
      </c>
      <c r="E56" t="str" cm="1">
        <f t="array" ref="E56">_xlfn.IFS(Exam_scores[[#This Row],[Previous scores]]&lt;=40,"F",Exam_scores[[#This Row],[Previous scores]]&lt;=45,"E",Exam_scores[[#This Row],[Previous scores]]&lt;=49,"D",Exam_scores[[#This Row],[Previous scores]]&lt;=59,"C",Exam_scores[[#This Row],[Previous scores]]&lt;=80,"B",Exam_scores[[#This Row],[Previous scores]]&gt;=81,"A")</f>
        <v>B</v>
      </c>
      <c r="F56">
        <v>70</v>
      </c>
      <c r="G56" t="str" cm="1">
        <f t="array" ref="G56">_xlfn.IFS(Exam_scores[[#This Row],[Exam score]]&lt;=20, "F",Exam_scores[[#This Row],[Exam score]]&lt;=30,"E",Exam_scores[[#This Row],[Exam score]]&lt;=40,"D",Exam_scores[[#This Row],[Exam score]]&lt;=45,"C",Exam_scores[[#This Row],[Exam score]]&lt;=49,"B",Exam_scores[[#This Row],[Exam score]]&gt;=50,"A")</f>
        <v>D</v>
      </c>
      <c r="H56">
        <v>34.4</v>
      </c>
    </row>
    <row r="57" spans="1:8" x14ac:dyDescent="0.35">
      <c r="A57" t="s">
        <v>55</v>
      </c>
      <c r="B57">
        <v>7.7</v>
      </c>
      <c r="C57">
        <v>9</v>
      </c>
      <c r="D57">
        <v>81.900000000000006</v>
      </c>
      <c r="E57" t="str" cm="1">
        <f t="array" ref="E57">_xlfn.IFS(Exam_scores[[#This Row],[Previous scores]]&lt;=40,"F",Exam_scores[[#This Row],[Previous scores]]&lt;=45,"E",Exam_scores[[#This Row],[Previous scores]]&lt;=49,"D",Exam_scores[[#This Row],[Previous scores]]&lt;=59,"C",Exam_scores[[#This Row],[Previous scores]]&lt;=80,"B",Exam_scores[[#This Row],[Previous scores]]&gt;=81,"A")</f>
        <v>C</v>
      </c>
      <c r="F57">
        <v>57</v>
      </c>
      <c r="G57" t="str" cm="1">
        <f t="array" ref="G57">_xlfn.IFS(Exam_scores[[#This Row],[Exam score]]&lt;=20, "F",Exam_scores[[#This Row],[Exam score]]&lt;=30,"E",Exam_scores[[#This Row],[Exam score]]&lt;=40,"D",Exam_scores[[#This Row],[Exam score]]&lt;=45,"C",Exam_scores[[#This Row],[Exam score]]&lt;=49,"B",Exam_scores[[#This Row],[Exam score]]&gt;=50,"A")</f>
        <v>D</v>
      </c>
      <c r="H57">
        <v>37</v>
      </c>
    </row>
    <row r="58" spans="1:8" x14ac:dyDescent="0.35">
      <c r="A58" t="s">
        <v>56</v>
      </c>
      <c r="B58">
        <v>2.9</v>
      </c>
      <c r="C58">
        <v>4.4000000000000004</v>
      </c>
      <c r="D58">
        <v>88.3</v>
      </c>
      <c r="E58" t="str" cm="1">
        <f t="array" ref="E58">_xlfn.IFS(Exam_scores[[#This Row],[Previous scores]]&lt;=40,"F",Exam_scores[[#This Row],[Previous scores]]&lt;=45,"E",Exam_scores[[#This Row],[Previous scores]]&lt;=49,"D",Exam_scores[[#This Row],[Previous scores]]&lt;=59,"C",Exam_scores[[#This Row],[Previous scores]]&lt;=80,"B",Exam_scores[[#This Row],[Previous scores]]&gt;=81,"A")</f>
        <v>A</v>
      </c>
      <c r="F58">
        <v>86</v>
      </c>
      <c r="G58" t="str" cm="1">
        <f t="array" ref="G58">_xlfn.IFS(Exam_scores[[#This Row],[Exam score]]&lt;=20, "F",Exam_scores[[#This Row],[Exam score]]&lt;=30,"E",Exam_scores[[#This Row],[Exam score]]&lt;=40,"D",Exam_scores[[#This Row],[Exam score]]&lt;=45,"C",Exam_scores[[#This Row],[Exam score]]&lt;=49,"B",Exam_scores[[#This Row],[Exam score]]&gt;=50,"A")</f>
        <v>D</v>
      </c>
      <c r="H58">
        <v>35.200000000000003</v>
      </c>
    </row>
    <row r="59" spans="1:8" x14ac:dyDescent="0.35">
      <c r="A59" t="s">
        <v>57</v>
      </c>
      <c r="B59">
        <v>9</v>
      </c>
      <c r="C59">
        <v>5.0999999999999996</v>
      </c>
      <c r="D59">
        <v>76.099999999999994</v>
      </c>
      <c r="E59" t="str" cm="1">
        <f t="array" ref="E59">_xlfn.IFS(Exam_scores[[#This Row],[Previous scores]]&lt;=40,"F",Exam_scores[[#This Row],[Previous scores]]&lt;=45,"E",Exam_scores[[#This Row],[Previous scores]]&lt;=49,"D",Exam_scores[[#This Row],[Previous scores]]&lt;=59,"C",Exam_scores[[#This Row],[Previous scores]]&lt;=80,"B",Exam_scores[[#This Row],[Previous scores]]&gt;=81,"A")</f>
        <v>B</v>
      </c>
      <c r="F59">
        <v>77</v>
      </c>
      <c r="G59" t="str" cm="1">
        <f t="array" ref="G59">_xlfn.IFS(Exam_scores[[#This Row],[Exam score]]&lt;=20, "F",Exam_scores[[#This Row],[Exam score]]&lt;=30,"E",Exam_scores[[#This Row],[Exam score]]&lt;=40,"D",Exam_scores[[#This Row],[Exam score]]&lt;=45,"C",Exam_scores[[#This Row],[Exam score]]&lt;=49,"B",Exam_scores[[#This Row],[Exam score]]&gt;=50,"A")</f>
        <v>D</v>
      </c>
      <c r="H59">
        <v>38.200000000000003</v>
      </c>
    </row>
    <row r="60" spans="1:8" x14ac:dyDescent="0.35">
      <c r="A60" t="s">
        <v>58</v>
      </c>
      <c r="B60">
        <v>2.8</v>
      </c>
      <c r="C60">
        <v>5.3</v>
      </c>
      <c r="D60">
        <v>81.3</v>
      </c>
      <c r="E60" t="str" cm="1">
        <f t="array" ref="E60">_xlfn.IFS(Exam_scores[[#This Row],[Previous scores]]&lt;=40,"F",Exam_scores[[#This Row],[Previous scores]]&lt;=45,"E",Exam_scores[[#This Row],[Previous scores]]&lt;=49,"D",Exam_scores[[#This Row],[Previous scores]]&lt;=59,"C",Exam_scores[[#This Row],[Previous scores]]&lt;=80,"B",Exam_scores[[#This Row],[Previous scores]]&gt;=81,"A")</f>
        <v>A</v>
      </c>
      <c r="F60">
        <v>88</v>
      </c>
      <c r="G60" t="str" cm="1">
        <f t="array" ref="G60">_xlfn.IFS(Exam_scores[[#This Row],[Exam score]]&lt;=20, "F",Exam_scores[[#This Row],[Exam score]]&lt;=30,"E",Exam_scores[[#This Row],[Exam score]]&lt;=40,"D",Exam_scores[[#This Row],[Exam score]]&lt;=45,"C",Exam_scores[[#This Row],[Exam score]]&lt;=49,"B",Exam_scores[[#This Row],[Exam score]]&gt;=50,"A")</f>
        <v>D</v>
      </c>
      <c r="H60">
        <v>33</v>
      </c>
    </row>
    <row r="61" spans="1:8" x14ac:dyDescent="0.35">
      <c r="A61" t="s">
        <v>59</v>
      </c>
      <c r="B61">
        <v>5.2</v>
      </c>
      <c r="C61">
        <v>8.6999999999999993</v>
      </c>
      <c r="D61">
        <v>63.7</v>
      </c>
      <c r="E61" t="str" cm="1">
        <f t="array" ref="E61">_xlfn.IFS(Exam_scores[[#This Row],[Previous scores]]&lt;=40,"F",Exam_scores[[#This Row],[Previous scores]]&lt;=45,"E",Exam_scores[[#This Row],[Previous scores]]&lt;=49,"D",Exam_scores[[#This Row],[Previous scores]]&lt;=59,"C",Exam_scores[[#This Row],[Previous scores]]&lt;=80,"B",Exam_scores[[#This Row],[Previous scores]]&gt;=81,"A")</f>
        <v>B</v>
      </c>
      <c r="F61">
        <v>73</v>
      </c>
      <c r="G61" t="str" cm="1">
        <f t="array" ref="G61">_xlfn.IFS(Exam_scores[[#This Row],[Exam score]]&lt;=20, "F",Exam_scores[[#This Row],[Exam score]]&lt;=30,"E",Exam_scores[[#This Row],[Exam score]]&lt;=40,"D",Exam_scores[[#This Row],[Exam score]]&lt;=45,"C",Exam_scores[[#This Row],[Exam score]]&lt;=49,"B",Exam_scores[[#This Row],[Exam score]]&gt;=50,"A")</f>
        <v>E</v>
      </c>
      <c r="H61">
        <v>29.2</v>
      </c>
    </row>
    <row r="62" spans="1:8" x14ac:dyDescent="0.35">
      <c r="A62" t="s">
        <v>60</v>
      </c>
      <c r="B62">
        <v>11.9</v>
      </c>
      <c r="C62">
        <v>8.4</v>
      </c>
      <c r="D62">
        <v>53.9</v>
      </c>
      <c r="E62" t="str" cm="1">
        <f t="array" ref="E62">_xlfn.IFS(Exam_scores[[#This Row],[Previous scores]]&lt;=40,"F",Exam_scores[[#This Row],[Previous scores]]&lt;=45,"E",Exam_scores[[#This Row],[Previous scores]]&lt;=49,"D",Exam_scores[[#This Row],[Previous scores]]&lt;=59,"C",Exam_scores[[#This Row],[Previous scores]]&lt;=80,"B",Exam_scores[[#This Row],[Previous scores]]&gt;=81,"A")</f>
        <v>B</v>
      </c>
      <c r="F62">
        <v>78</v>
      </c>
      <c r="G62" t="str" cm="1">
        <f t="array" ref="G62">_xlfn.IFS(Exam_scores[[#This Row],[Exam score]]&lt;=20, "F",Exam_scores[[#This Row],[Exam score]]&lt;=30,"E",Exam_scores[[#This Row],[Exam score]]&lt;=40,"D",Exam_scores[[#This Row],[Exam score]]&lt;=45,"C",Exam_scores[[#This Row],[Exam score]]&lt;=49,"B",Exam_scores[[#This Row],[Exam score]]&gt;=50,"A")</f>
        <v>B</v>
      </c>
      <c r="H62">
        <v>48.6</v>
      </c>
    </row>
    <row r="63" spans="1:8" x14ac:dyDescent="0.35">
      <c r="A63" t="s">
        <v>61</v>
      </c>
      <c r="B63">
        <v>8</v>
      </c>
      <c r="C63">
        <v>8.4</v>
      </c>
      <c r="D63">
        <v>64.3</v>
      </c>
      <c r="E63" t="str" cm="1">
        <f t="array" ref="E63">_xlfn.IFS(Exam_scores[[#This Row],[Previous scores]]&lt;=40,"F",Exam_scores[[#This Row],[Previous scores]]&lt;=45,"E",Exam_scores[[#This Row],[Previous scores]]&lt;=49,"D",Exam_scores[[#This Row],[Previous scores]]&lt;=59,"C",Exam_scores[[#This Row],[Previous scores]]&lt;=80,"B",Exam_scores[[#This Row],[Previous scores]]&gt;=81,"A")</f>
        <v>C</v>
      </c>
      <c r="F63">
        <v>58</v>
      </c>
      <c r="G63" t="str" cm="1">
        <f t="array" ref="G63">_xlfn.IFS(Exam_scores[[#This Row],[Exam score]]&lt;=20, "F",Exam_scores[[#This Row],[Exam score]]&lt;=30,"E",Exam_scores[[#This Row],[Exam score]]&lt;=40,"D",Exam_scores[[#This Row],[Exam score]]&lt;=45,"C",Exam_scores[[#This Row],[Exam score]]&lt;=49,"B",Exam_scores[[#This Row],[Exam score]]&gt;=50,"A")</f>
        <v>D</v>
      </c>
      <c r="H63">
        <v>36.1</v>
      </c>
    </row>
    <row r="64" spans="1:8" x14ac:dyDescent="0.35">
      <c r="A64" t="s">
        <v>62</v>
      </c>
      <c r="B64">
        <v>7.1</v>
      </c>
      <c r="C64">
        <v>5.8</v>
      </c>
      <c r="D64">
        <v>63.6</v>
      </c>
      <c r="E64" t="str" cm="1">
        <f t="array" ref="E64">_xlfn.IFS(Exam_scores[[#This Row],[Previous scores]]&lt;=40,"F",Exam_scores[[#This Row],[Previous scores]]&lt;=45,"E",Exam_scores[[#This Row],[Previous scores]]&lt;=49,"D",Exam_scores[[#This Row],[Previous scores]]&lt;=59,"C",Exam_scores[[#This Row],[Previous scores]]&lt;=80,"B",Exam_scores[[#This Row],[Previous scores]]&gt;=81,"A")</f>
        <v>D</v>
      </c>
      <c r="F64">
        <v>46</v>
      </c>
      <c r="G64" t="str" cm="1">
        <f t="array" ref="G64">_xlfn.IFS(Exam_scores[[#This Row],[Exam score]]&lt;=20, "F",Exam_scores[[#This Row],[Exam score]]&lt;=30,"E",Exam_scores[[#This Row],[Exam score]]&lt;=40,"D",Exam_scores[[#This Row],[Exam score]]&lt;=45,"C",Exam_scores[[#This Row],[Exam score]]&lt;=49,"B",Exam_scores[[#This Row],[Exam score]]&gt;=50,"A")</f>
        <v>E</v>
      </c>
      <c r="H64">
        <v>27.1</v>
      </c>
    </row>
    <row r="65" spans="1:8" x14ac:dyDescent="0.35">
      <c r="A65" t="s">
        <v>63</v>
      </c>
      <c r="B65">
        <v>8.5</v>
      </c>
      <c r="C65">
        <v>4.8</v>
      </c>
      <c r="D65">
        <v>66</v>
      </c>
      <c r="E65" t="str" cm="1">
        <f t="array" ref="E65">_xlfn.IFS(Exam_scores[[#This Row],[Previous scores]]&lt;=40,"F",Exam_scores[[#This Row],[Previous scores]]&lt;=45,"E",Exam_scores[[#This Row],[Previous scores]]&lt;=49,"D",Exam_scores[[#This Row],[Previous scores]]&lt;=59,"C",Exam_scores[[#This Row],[Previous scores]]&lt;=80,"B",Exam_scores[[#This Row],[Previous scores]]&gt;=81,"A")</f>
        <v>A</v>
      </c>
      <c r="F65">
        <v>93</v>
      </c>
      <c r="G65" t="str" cm="1">
        <f t="array" ref="G65">_xlfn.IFS(Exam_scores[[#This Row],[Exam score]]&lt;=20, "F",Exam_scores[[#This Row],[Exam score]]&lt;=30,"E",Exam_scores[[#This Row],[Exam score]]&lt;=40,"D",Exam_scores[[#This Row],[Exam score]]&lt;=45,"C",Exam_scores[[#This Row],[Exam score]]&lt;=49,"B",Exam_scores[[#This Row],[Exam score]]&gt;=50,"A")</f>
        <v>D</v>
      </c>
      <c r="H65">
        <v>36.1</v>
      </c>
    </row>
    <row r="66" spans="1:8" x14ac:dyDescent="0.35">
      <c r="A66" t="s">
        <v>64</v>
      </c>
      <c r="B66">
        <v>10.3</v>
      </c>
      <c r="C66">
        <v>8.1999999999999993</v>
      </c>
      <c r="D66">
        <v>77</v>
      </c>
      <c r="E66" t="str" cm="1">
        <f t="array" ref="E66">_xlfn.IFS(Exam_scores[[#This Row],[Previous scores]]&lt;=40,"F",Exam_scores[[#This Row],[Previous scores]]&lt;=45,"E",Exam_scores[[#This Row],[Previous scores]]&lt;=49,"D",Exam_scores[[#This Row],[Previous scores]]&lt;=59,"C",Exam_scores[[#This Row],[Previous scores]]&lt;=80,"B",Exam_scores[[#This Row],[Previous scores]]&gt;=81,"A")</f>
        <v>C</v>
      </c>
      <c r="F66">
        <v>52</v>
      </c>
      <c r="G66" t="str" cm="1">
        <f t="array" ref="G66">_xlfn.IFS(Exam_scores[[#This Row],[Exam score]]&lt;=20, "F",Exam_scores[[#This Row],[Exam score]]&lt;=30,"E",Exam_scores[[#This Row],[Exam score]]&lt;=40,"D",Exam_scores[[#This Row],[Exam score]]&lt;=45,"C",Exam_scores[[#This Row],[Exam score]]&lt;=49,"B",Exam_scores[[#This Row],[Exam score]]&gt;=50,"A")</f>
        <v>D</v>
      </c>
      <c r="H66">
        <v>39.5</v>
      </c>
    </row>
    <row r="67" spans="1:8" x14ac:dyDescent="0.35">
      <c r="A67" t="s">
        <v>65</v>
      </c>
      <c r="B67">
        <v>9.5</v>
      </c>
      <c r="C67">
        <v>7.5</v>
      </c>
      <c r="D67">
        <v>56.9</v>
      </c>
      <c r="E67" t="str" cm="1">
        <f t="array" ref="E67">_xlfn.IFS(Exam_scores[[#This Row],[Previous scores]]&lt;=40,"F",Exam_scores[[#This Row],[Previous scores]]&lt;=45,"E",Exam_scores[[#This Row],[Previous scores]]&lt;=49,"D",Exam_scores[[#This Row],[Previous scores]]&lt;=59,"C",Exam_scores[[#This Row],[Previous scores]]&lt;=80,"B",Exam_scores[[#This Row],[Previous scores]]&gt;=81,"A")</f>
        <v>C</v>
      </c>
      <c r="F67">
        <v>58</v>
      </c>
      <c r="G67" t="str" cm="1">
        <f t="array" ref="G67">_xlfn.IFS(Exam_scores[[#This Row],[Exam score]]&lt;=20, "F",Exam_scores[[#This Row],[Exam score]]&lt;=30,"E",Exam_scores[[#This Row],[Exam score]]&lt;=40,"D",Exam_scores[[#This Row],[Exam score]]&lt;=45,"C",Exam_scores[[#This Row],[Exam score]]&lt;=49,"B",Exam_scores[[#This Row],[Exam score]]&gt;=50,"A")</f>
        <v>D</v>
      </c>
      <c r="H67">
        <v>36.700000000000003</v>
      </c>
    </row>
    <row r="68" spans="1:8" x14ac:dyDescent="0.35">
      <c r="A68" t="s">
        <v>66</v>
      </c>
      <c r="B68">
        <v>3.5</v>
      </c>
      <c r="C68">
        <v>7.1</v>
      </c>
      <c r="D68">
        <v>61.6</v>
      </c>
      <c r="E68" t="str" cm="1">
        <f t="array" ref="E68">_xlfn.IFS(Exam_scores[[#This Row],[Previous scores]]&lt;=40,"F",Exam_scores[[#This Row],[Previous scores]]&lt;=45,"E",Exam_scores[[#This Row],[Previous scores]]&lt;=49,"D",Exam_scores[[#This Row],[Previous scores]]&lt;=59,"C",Exam_scores[[#This Row],[Previous scores]]&lt;=80,"B",Exam_scores[[#This Row],[Previous scores]]&gt;=81,"A")</f>
        <v>C</v>
      </c>
      <c r="F68">
        <v>54</v>
      </c>
      <c r="G68" t="str" cm="1">
        <f t="array" ref="G68">_xlfn.IFS(Exam_scores[[#This Row],[Exam score]]&lt;=20, "F",Exam_scores[[#This Row],[Exam score]]&lt;=30,"E",Exam_scores[[#This Row],[Exam score]]&lt;=40,"D",Exam_scores[[#This Row],[Exam score]]&lt;=45,"C",Exam_scores[[#This Row],[Exam score]]&lt;=49,"B",Exam_scores[[#This Row],[Exam score]]&gt;=50,"A")</f>
        <v>E</v>
      </c>
      <c r="H68">
        <v>21.7</v>
      </c>
    </row>
    <row r="69" spans="1:8" x14ac:dyDescent="0.35">
      <c r="A69" t="s">
        <v>67</v>
      </c>
      <c r="B69">
        <v>1.4</v>
      </c>
      <c r="C69">
        <v>8.9</v>
      </c>
      <c r="D69">
        <v>84.7</v>
      </c>
      <c r="E69" t="str" cm="1">
        <f t="array" ref="E69">_xlfn.IFS(Exam_scores[[#This Row],[Previous scores]]&lt;=40,"F",Exam_scores[[#This Row],[Previous scores]]&lt;=45,"E",Exam_scores[[#This Row],[Previous scores]]&lt;=49,"D",Exam_scores[[#This Row],[Previous scores]]&lt;=59,"C",Exam_scores[[#This Row],[Previous scores]]&lt;=80,"B",Exam_scores[[#This Row],[Previous scores]]&gt;=81,"A")</f>
        <v>B</v>
      </c>
      <c r="F69">
        <v>63</v>
      </c>
      <c r="G69" t="str" cm="1">
        <f t="array" ref="G69">_xlfn.IFS(Exam_scores[[#This Row],[Exam score]]&lt;=20, "F",Exam_scores[[#This Row],[Exam score]]&lt;=30,"E",Exam_scores[[#This Row],[Exam score]]&lt;=40,"D",Exam_scores[[#This Row],[Exam score]]&lt;=45,"C",Exam_scores[[#This Row],[Exam score]]&lt;=49,"B",Exam_scores[[#This Row],[Exam score]]&gt;=50,"A")</f>
        <v>D</v>
      </c>
      <c r="H69">
        <v>32.200000000000003</v>
      </c>
    </row>
    <row r="70" spans="1:8" x14ac:dyDescent="0.35">
      <c r="A70" t="s">
        <v>68</v>
      </c>
      <c r="B70">
        <v>4.5</v>
      </c>
      <c r="C70">
        <v>7.3</v>
      </c>
      <c r="D70">
        <v>85.3</v>
      </c>
      <c r="E70" t="str" cm="1">
        <f t="array" ref="E70">_xlfn.IFS(Exam_scores[[#This Row],[Previous scores]]&lt;=40,"F",Exam_scores[[#This Row],[Previous scores]]&lt;=45,"E",Exam_scores[[#This Row],[Previous scores]]&lt;=49,"D",Exam_scores[[#This Row],[Previous scores]]&lt;=59,"C",Exam_scores[[#This Row],[Previous scores]]&lt;=80,"B",Exam_scores[[#This Row],[Previous scores]]&gt;=81,"A")</f>
        <v>C</v>
      </c>
      <c r="F70">
        <v>51</v>
      </c>
      <c r="G70" t="str" cm="1">
        <f t="array" ref="G70">_xlfn.IFS(Exam_scores[[#This Row],[Exam score]]&lt;=20, "F",Exam_scores[[#This Row],[Exam score]]&lt;=30,"E",Exam_scores[[#This Row],[Exam score]]&lt;=40,"D",Exam_scores[[#This Row],[Exam score]]&lt;=45,"C",Exam_scores[[#This Row],[Exam score]]&lt;=49,"B",Exam_scores[[#This Row],[Exam score]]&gt;=50,"A")</f>
        <v>D</v>
      </c>
      <c r="H70">
        <v>33.5</v>
      </c>
    </row>
    <row r="71" spans="1:8" x14ac:dyDescent="0.35">
      <c r="A71" t="s">
        <v>69</v>
      </c>
      <c r="B71">
        <v>3.9</v>
      </c>
      <c r="C71">
        <v>4</v>
      </c>
      <c r="D71">
        <v>53.2</v>
      </c>
      <c r="E71" t="str" cm="1">
        <f t="array" ref="E71">_xlfn.IFS(Exam_scores[[#This Row],[Previous scores]]&lt;=40,"F",Exam_scores[[#This Row],[Previous scores]]&lt;=45,"E",Exam_scores[[#This Row],[Previous scores]]&lt;=49,"D",Exam_scores[[#This Row],[Previous scores]]&lt;=59,"C",Exam_scores[[#This Row],[Previous scores]]&lt;=80,"B",Exam_scores[[#This Row],[Previous scores]]&gt;=81,"A")</f>
        <v>C</v>
      </c>
      <c r="F71">
        <v>59</v>
      </c>
      <c r="G71" t="str" cm="1">
        <f t="array" ref="G71">_xlfn.IFS(Exam_scores[[#This Row],[Exam score]]&lt;=20, "F",Exam_scores[[#This Row],[Exam score]]&lt;=30,"E",Exam_scores[[#This Row],[Exam score]]&lt;=40,"D",Exam_scores[[#This Row],[Exam score]]&lt;=45,"C",Exam_scores[[#This Row],[Exam score]]&lt;=49,"B",Exam_scores[[#This Row],[Exam score]]&gt;=50,"A")</f>
        <v>E</v>
      </c>
      <c r="H71">
        <v>23.9</v>
      </c>
    </row>
    <row r="72" spans="1:8" x14ac:dyDescent="0.35">
      <c r="A72" t="s">
        <v>70</v>
      </c>
      <c r="B72">
        <v>3.3</v>
      </c>
      <c r="C72">
        <v>8.1</v>
      </c>
      <c r="D72">
        <v>70.400000000000006</v>
      </c>
      <c r="E72" t="str" cm="1">
        <f t="array" ref="E72">_xlfn.IFS(Exam_scores[[#This Row],[Previous scores]]&lt;=40,"F",Exam_scores[[#This Row],[Previous scores]]&lt;=45,"E",Exam_scores[[#This Row],[Previous scores]]&lt;=49,"D",Exam_scores[[#This Row],[Previous scores]]&lt;=59,"C",Exam_scores[[#This Row],[Previous scores]]&lt;=80,"B",Exam_scores[[#This Row],[Previous scores]]&gt;=81,"A")</f>
        <v>F</v>
      </c>
      <c r="F72">
        <v>40</v>
      </c>
      <c r="G72" t="str" cm="1">
        <f t="array" ref="G72">_xlfn.IFS(Exam_scores[[#This Row],[Exam score]]&lt;=20, "F",Exam_scores[[#This Row],[Exam score]]&lt;=30,"E",Exam_scores[[#This Row],[Exam score]]&lt;=40,"D",Exam_scores[[#This Row],[Exam score]]&lt;=45,"C",Exam_scores[[#This Row],[Exam score]]&lt;=49,"B",Exam_scores[[#This Row],[Exam score]]&gt;=50,"A")</f>
        <v>E</v>
      </c>
      <c r="H72">
        <v>20.8</v>
      </c>
    </row>
    <row r="73" spans="1:8" x14ac:dyDescent="0.35">
      <c r="A73" t="s">
        <v>71</v>
      </c>
      <c r="B73">
        <v>11.4</v>
      </c>
      <c r="C73">
        <v>5.5</v>
      </c>
      <c r="D73">
        <v>77.099999999999994</v>
      </c>
      <c r="E73" t="str" cm="1">
        <f t="array" ref="E73">_xlfn.IFS(Exam_scores[[#This Row],[Previous scores]]&lt;=40,"F",Exam_scores[[#This Row],[Previous scores]]&lt;=45,"E",Exam_scores[[#This Row],[Previous scores]]&lt;=49,"D",Exam_scores[[#This Row],[Previous scores]]&lt;=59,"C",Exam_scores[[#This Row],[Previous scores]]&lt;=80,"B",Exam_scores[[#This Row],[Previous scores]]&gt;=81,"A")</f>
        <v>A</v>
      </c>
      <c r="F73">
        <v>85</v>
      </c>
      <c r="G73" t="str" cm="1">
        <f t="array" ref="G73">_xlfn.IFS(Exam_scores[[#This Row],[Exam score]]&lt;=20, "F",Exam_scores[[#This Row],[Exam score]]&lt;=30,"E",Exam_scores[[#This Row],[Exam score]]&lt;=40,"D",Exam_scores[[#This Row],[Exam score]]&lt;=45,"C",Exam_scores[[#This Row],[Exam score]]&lt;=49,"B",Exam_scores[[#This Row],[Exam score]]&gt;=50,"A")</f>
        <v>B</v>
      </c>
      <c r="H73">
        <v>47.9</v>
      </c>
    </row>
    <row r="74" spans="1:8" x14ac:dyDescent="0.35">
      <c r="A74" t="s">
        <v>72</v>
      </c>
      <c r="B74">
        <v>10.6</v>
      </c>
      <c r="C74">
        <v>7.3</v>
      </c>
      <c r="D74">
        <v>70.8</v>
      </c>
      <c r="E74" t="str" cm="1">
        <f t="array" ref="E74">_xlfn.IFS(Exam_scores[[#This Row],[Previous scores]]&lt;=40,"F",Exam_scores[[#This Row],[Previous scores]]&lt;=45,"E",Exam_scores[[#This Row],[Previous scores]]&lt;=49,"D",Exam_scores[[#This Row],[Previous scores]]&lt;=59,"C",Exam_scores[[#This Row],[Previous scores]]&lt;=80,"B",Exam_scores[[#This Row],[Previous scores]]&gt;=81,"A")</f>
        <v>B</v>
      </c>
      <c r="F74">
        <v>74</v>
      </c>
      <c r="G74" t="str" cm="1">
        <f t="array" ref="G74">_xlfn.IFS(Exam_scores[[#This Row],[Exam score]]&lt;=20, "F",Exam_scores[[#This Row],[Exam score]]&lt;=30,"E",Exam_scores[[#This Row],[Exam score]]&lt;=40,"D",Exam_scores[[#This Row],[Exam score]]&lt;=45,"C",Exam_scores[[#This Row],[Exam score]]&lt;=49,"B",Exam_scores[[#This Row],[Exam score]]&gt;=50,"A")</f>
        <v>C</v>
      </c>
      <c r="H74">
        <v>41.9</v>
      </c>
    </row>
    <row r="75" spans="1:8" x14ac:dyDescent="0.35">
      <c r="A75" t="s">
        <v>73</v>
      </c>
      <c r="B75">
        <v>4.5</v>
      </c>
      <c r="C75">
        <v>8.6999999999999993</v>
      </c>
      <c r="D75">
        <v>60.3</v>
      </c>
      <c r="E75" t="str" cm="1">
        <f t="array" ref="E75">_xlfn.IFS(Exam_scores[[#This Row],[Previous scores]]&lt;=40,"F",Exam_scores[[#This Row],[Previous scores]]&lt;=45,"E",Exam_scores[[#This Row],[Previous scores]]&lt;=49,"D",Exam_scores[[#This Row],[Previous scores]]&lt;=59,"C",Exam_scores[[#This Row],[Previous scores]]&lt;=80,"B",Exam_scores[[#This Row],[Previous scores]]&gt;=81,"A")</f>
        <v>D</v>
      </c>
      <c r="F75">
        <v>48</v>
      </c>
      <c r="G75" t="str" cm="1">
        <f t="array" ref="G75">_xlfn.IFS(Exam_scores[[#This Row],[Exam score]]&lt;=20, "F",Exam_scores[[#This Row],[Exam score]]&lt;=30,"E",Exam_scores[[#This Row],[Exam score]]&lt;=40,"D",Exam_scores[[#This Row],[Exam score]]&lt;=45,"C",Exam_scores[[#This Row],[Exam score]]&lt;=49,"B",Exam_scores[[#This Row],[Exam score]]&gt;=50,"A")</f>
        <v>E</v>
      </c>
      <c r="H75">
        <v>29.5</v>
      </c>
    </row>
    <row r="76" spans="1:8" x14ac:dyDescent="0.35">
      <c r="A76" t="s">
        <v>74</v>
      </c>
      <c r="B76">
        <v>8.1999999999999993</v>
      </c>
      <c r="C76">
        <v>4.7</v>
      </c>
      <c r="D76">
        <v>71</v>
      </c>
      <c r="E76" t="str" cm="1">
        <f t="array" ref="E76">_xlfn.IFS(Exam_scores[[#This Row],[Previous scores]]&lt;=40,"F",Exam_scores[[#This Row],[Previous scores]]&lt;=45,"E",Exam_scores[[#This Row],[Previous scores]]&lt;=49,"D",Exam_scores[[#This Row],[Previous scores]]&lt;=59,"C",Exam_scores[[#This Row],[Previous scores]]&lt;=80,"B",Exam_scores[[#This Row],[Previous scores]]&gt;=81,"A")</f>
        <v>C</v>
      </c>
      <c r="F76">
        <v>57</v>
      </c>
      <c r="G76" t="str" cm="1">
        <f t="array" ref="G76">_xlfn.IFS(Exam_scores[[#This Row],[Exam score]]&lt;=20, "F",Exam_scores[[#This Row],[Exam score]]&lt;=30,"E",Exam_scores[[#This Row],[Exam score]]&lt;=40,"D",Exam_scores[[#This Row],[Exam score]]&lt;=45,"C",Exam_scores[[#This Row],[Exam score]]&lt;=49,"B",Exam_scores[[#This Row],[Exam score]]&gt;=50,"A")</f>
        <v>D</v>
      </c>
      <c r="H76">
        <v>33.5</v>
      </c>
    </row>
    <row r="77" spans="1:8" x14ac:dyDescent="0.35">
      <c r="A77" t="s">
        <v>75</v>
      </c>
      <c r="B77">
        <v>5.4</v>
      </c>
      <c r="C77">
        <v>4.5999999999999996</v>
      </c>
      <c r="D77">
        <v>95.2</v>
      </c>
      <c r="E77" t="str" cm="1">
        <f t="array" ref="E77">_xlfn.IFS(Exam_scores[[#This Row],[Previous scores]]&lt;=40,"F",Exam_scores[[#This Row],[Previous scores]]&lt;=45,"E",Exam_scores[[#This Row],[Previous scores]]&lt;=49,"D",Exam_scores[[#This Row],[Previous scores]]&lt;=59,"C",Exam_scores[[#This Row],[Previous scores]]&lt;=80,"B",Exam_scores[[#This Row],[Previous scores]]&gt;=81,"A")</f>
        <v>E</v>
      </c>
      <c r="F77">
        <v>42</v>
      </c>
      <c r="G77" t="str" cm="1">
        <f t="array" ref="G77">_xlfn.IFS(Exam_scores[[#This Row],[Exam score]]&lt;=20, "F",Exam_scores[[#This Row],[Exam score]]&lt;=30,"E",Exam_scores[[#This Row],[Exam score]]&lt;=40,"D",Exam_scores[[#This Row],[Exam score]]&lt;=45,"C",Exam_scores[[#This Row],[Exam score]]&lt;=49,"B",Exam_scores[[#This Row],[Exam score]]&gt;=50,"A")</f>
        <v>E</v>
      </c>
      <c r="H77">
        <v>26.3</v>
      </c>
    </row>
    <row r="78" spans="1:8" x14ac:dyDescent="0.35">
      <c r="A78" t="s">
        <v>76</v>
      </c>
      <c r="B78">
        <v>11.1</v>
      </c>
      <c r="C78">
        <v>4.5</v>
      </c>
      <c r="D78">
        <v>79.2</v>
      </c>
      <c r="E78" t="str" cm="1">
        <f t="array" ref="E78">_xlfn.IFS(Exam_scores[[#This Row],[Previous scores]]&lt;=40,"F",Exam_scores[[#This Row],[Previous scores]]&lt;=45,"E",Exam_scores[[#This Row],[Previous scores]]&lt;=49,"D",Exam_scores[[#This Row],[Previous scores]]&lt;=59,"C",Exam_scores[[#This Row],[Previous scores]]&lt;=80,"B",Exam_scores[[#This Row],[Previous scores]]&gt;=81,"A")</f>
        <v>E</v>
      </c>
      <c r="F78">
        <v>43</v>
      </c>
      <c r="G78" t="str" cm="1">
        <f t="array" ref="G78">_xlfn.IFS(Exam_scores[[#This Row],[Exam score]]&lt;=20, "F",Exam_scores[[#This Row],[Exam score]]&lt;=30,"E",Exam_scores[[#This Row],[Exam score]]&lt;=40,"D",Exam_scores[[#This Row],[Exam score]]&lt;=45,"C",Exam_scores[[#This Row],[Exam score]]&lt;=49,"B",Exam_scores[[#This Row],[Exam score]]&gt;=50,"A")</f>
        <v>D</v>
      </c>
      <c r="H78">
        <v>39.9</v>
      </c>
    </row>
    <row r="79" spans="1:8" x14ac:dyDescent="0.35">
      <c r="A79" t="s">
        <v>77</v>
      </c>
      <c r="B79">
        <v>6</v>
      </c>
      <c r="C79">
        <v>6.8</v>
      </c>
      <c r="D79">
        <v>84.8</v>
      </c>
      <c r="E79" t="str" cm="1">
        <f t="array" ref="E79">_xlfn.IFS(Exam_scores[[#This Row],[Previous scores]]&lt;=40,"F",Exam_scores[[#This Row],[Previous scores]]&lt;=45,"E",Exam_scores[[#This Row],[Previous scores]]&lt;=49,"D",Exam_scores[[#This Row],[Previous scores]]&lt;=59,"C",Exam_scores[[#This Row],[Previous scores]]&lt;=80,"B",Exam_scores[[#This Row],[Previous scores]]&gt;=81,"A")</f>
        <v>B</v>
      </c>
      <c r="F79">
        <v>75</v>
      </c>
      <c r="G79" t="str" cm="1">
        <f t="array" ref="G79">_xlfn.IFS(Exam_scores[[#This Row],[Exam score]]&lt;=20, "F",Exam_scores[[#This Row],[Exam score]]&lt;=30,"E",Exam_scores[[#This Row],[Exam score]]&lt;=40,"D",Exam_scores[[#This Row],[Exam score]]&lt;=45,"C",Exam_scores[[#This Row],[Exam score]]&lt;=49,"B",Exam_scores[[#This Row],[Exam score]]&gt;=50,"A")</f>
        <v>C</v>
      </c>
      <c r="H79">
        <v>40.299999999999997</v>
      </c>
    </row>
    <row r="80" spans="1:8" x14ac:dyDescent="0.35">
      <c r="A80" t="s">
        <v>78</v>
      </c>
      <c r="B80">
        <v>3.9</v>
      </c>
      <c r="C80">
        <v>5.4</v>
      </c>
      <c r="D80">
        <v>92.8</v>
      </c>
      <c r="E80" t="str" cm="1">
        <f t="array" ref="E80">_xlfn.IFS(Exam_scores[[#This Row],[Previous scores]]&lt;=40,"F",Exam_scores[[#This Row],[Previous scores]]&lt;=45,"E",Exam_scores[[#This Row],[Previous scores]]&lt;=49,"D",Exam_scores[[#This Row],[Previous scores]]&lt;=59,"C",Exam_scores[[#This Row],[Previous scores]]&lt;=80,"B",Exam_scores[[#This Row],[Previous scores]]&gt;=81,"A")</f>
        <v>C</v>
      </c>
      <c r="F80">
        <v>58</v>
      </c>
      <c r="G80" t="str" cm="1">
        <f t="array" ref="G80">_xlfn.IFS(Exam_scores[[#This Row],[Exam score]]&lt;=20, "F",Exam_scores[[#This Row],[Exam score]]&lt;=30,"E",Exam_scores[[#This Row],[Exam score]]&lt;=40,"D",Exam_scores[[#This Row],[Exam score]]&lt;=45,"C",Exam_scores[[#This Row],[Exam score]]&lt;=49,"B",Exam_scores[[#This Row],[Exam score]]&gt;=50,"A")</f>
        <v>E</v>
      </c>
      <c r="H80">
        <v>26.5</v>
      </c>
    </row>
    <row r="81" spans="1:8" x14ac:dyDescent="0.35">
      <c r="A81" t="s">
        <v>79</v>
      </c>
      <c r="B81">
        <v>3.7</v>
      </c>
      <c r="C81">
        <v>7</v>
      </c>
      <c r="D81">
        <v>88.3</v>
      </c>
      <c r="E81" t="str" cm="1">
        <f t="array" ref="E81">_xlfn.IFS(Exam_scores[[#This Row],[Previous scores]]&lt;=40,"F",Exam_scores[[#This Row],[Previous scores]]&lt;=45,"E",Exam_scores[[#This Row],[Previous scores]]&lt;=49,"D",Exam_scores[[#This Row],[Previous scores]]&lt;=59,"C",Exam_scores[[#This Row],[Previous scores]]&lt;=80,"B",Exam_scores[[#This Row],[Previous scores]]&gt;=81,"A")</f>
        <v>A</v>
      </c>
      <c r="F81">
        <v>84</v>
      </c>
      <c r="G81" t="str" cm="1">
        <f t="array" ref="G81">_xlfn.IFS(Exam_scores[[#This Row],[Exam score]]&lt;=20, "F",Exam_scores[[#This Row],[Exam score]]&lt;=30,"E",Exam_scores[[#This Row],[Exam score]]&lt;=40,"D",Exam_scores[[#This Row],[Exam score]]&lt;=45,"C",Exam_scores[[#This Row],[Exam score]]&lt;=49,"B",Exam_scores[[#This Row],[Exam score]]&gt;=50,"A")</f>
        <v>D</v>
      </c>
      <c r="H81">
        <v>34.200000000000003</v>
      </c>
    </row>
    <row r="82" spans="1:8" x14ac:dyDescent="0.35">
      <c r="A82" t="s">
        <v>80</v>
      </c>
      <c r="B82">
        <v>7.2</v>
      </c>
      <c r="C82">
        <v>7.6</v>
      </c>
      <c r="D82">
        <v>69</v>
      </c>
      <c r="E82" t="str" cm="1">
        <f t="array" ref="E82">_xlfn.IFS(Exam_scores[[#This Row],[Previous scores]]&lt;=40,"F",Exam_scores[[#This Row],[Previous scores]]&lt;=45,"E",Exam_scores[[#This Row],[Previous scores]]&lt;=49,"D",Exam_scores[[#This Row],[Previous scores]]&lt;=59,"C",Exam_scores[[#This Row],[Previous scores]]&lt;=80,"B",Exam_scores[[#This Row],[Previous scores]]&gt;=81,"A")</f>
        <v>D</v>
      </c>
      <c r="F82">
        <v>48</v>
      </c>
      <c r="G82" t="str" cm="1">
        <f t="array" ref="G82">_xlfn.IFS(Exam_scores[[#This Row],[Exam score]]&lt;=20, "F",Exam_scores[[#This Row],[Exam score]]&lt;=30,"E",Exam_scores[[#This Row],[Exam score]]&lt;=40,"D",Exam_scores[[#This Row],[Exam score]]&lt;=45,"C",Exam_scores[[#This Row],[Exam score]]&lt;=49,"B",Exam_scores[[#This Row],[Exam score]]&gt;=50,"A")</f>
        <v>D</v>
      </c>
      <c r="H82">
        <v>30.8</v>
      </c>
    </row>
    <row r="83" spans="1:8" x14ac:dyDescent="0.35">
      <c r="A83" t="s">
        <v>81</v>
      </c>
      <c r="B83">
        <v>3.9</v>
      </c>
      <c r="C83">
        <v>5</v>
      </c>
      <c r="D83">
        <v>50.3</v>
      </c>
      <c r="E83" t="str" cm="1">
        <f t="array" ref="E83">_xlfn.IFS(Exam_scores[[#This Row],[Previous scores]]&lt;=40,"F",Exam_scores[[#This Row],[Previous scores]]&lt;=45,"E",Exam_scores[[#This Row],[Previous scores]]&lt;=49,"D",Exam_scores[[#This Row],[Previous scores]]&lt;=59,"C",Exam_scores[[#This Row],[Previous scores]]&lt;=80,"B",Exam_scores[[#This Row],[Previous scores]]&gt;=81,"A")</f>
        <v>B</v>
      </c>
      <c r="F83">
        <v>80</v>
      </c>
      <c r="G83" t="str" cm="1">
        <f t="array" ref="G83">_xlfn.IFS(Exam_scores[[#This Row],[Exam score]]&lt;=20, "F",Exam_scores[[#This Row],[Exam score]]&lt;=30,"E",Exam_scores[[#This Row],[Exam score]]&lt;=40,"D",Exam_scores[[#This Row],[Exam score]]&lt;=45,"C",Exam_scores[[#This Row],[Exam score]]&lt;=49,"B",Exam_scores[[#This Row],[Exam score]]&gt;=50,"A")</f>
        <v>D</v>
      </c>
      <c r="H83">
        <v>32.4</v>
      </c>
    </row>
    <row r="84" spans="1:8" x14ac:dyDescent="0.35">
      <c r="A84" t="s">
        <v>82</v>
      </c>
      <c r="B84">
        <v>7.4</v>
      </c>
      <c r="C84">
        <v>7.2</v>
      </c>
      <c r="D84">
        <v>67.599999999999994</v>
      </c>
      <c r="E84" t="str" cm="1">
        <f t="array" ref="E84">_xlfn.IFS(Exam_scores[[#This Row],[Previous scores]]&lt;=40,"F",Exam_scores[[#This Row],[Previous scores]]&lt;=45,"E",Exam_scores[[#This Row],[Previous scores]]&lt;=49,"D",Exam_scores[[#This Row],[Previous scores]]&lt;=59,"C",Exam_scores[[#This Row],[Previous scores]]&lt;=80,"B",Exam_scores[[#This Row],[Previous scores]]&gt;=81,"A")</f>
        <v>A</v>
      </c>
      <c r="F84">
        <v>95</v>
      </c>
      <c r="G84" t="str" cm="1">
        <f t="array" ref="G84">_xlfn.IFS(Exam_scores[[#This Row],[Exam score]]&lt;=20, "F",Exam_scores[[#This Row],[Exam score]]&lt;=30,"E",Exam_scores[[#This Row],[Exam score]]&lt;=40,"D",Exam_scores[[#This Row],[Exam score]]&lt;=45,"C",Exam_scores[[#This Row],[Exam score]]&lt;=49,"B",Exam_scores[[#This Row],[Exam score]]&gt;=50,"A")</f>
        <v>D</v>
      </c>
      <c r="H84">
        <v>39.799999999999997</v>
      </c>
    </row>
    <row r="85" spans="1:8" x14ac:dyDescent="0.35">
      <c r="A85" t="s">
        <v>83</v>
      </c>
      <c r="B85">
        <v>10.9</v>
      </c>
      <c r="C85">
        <v>5.3</v>
      </c>
      <c r="D85">
        <v>87.7</v>
      </c>
      <c r="E85" t="str" cm="1">
        <f t="array" ref="E85">_xlfn.IFS(Exam_scores[[#This Row],[Previous scores]]&lt;=40,"F",Exam_scores[[#This Row],[Previous scores]]&lt;=45,"E",Exam_scores[[#This Row],[Previous scores]]&lt;=49,"D",Exam_scores[[#This Row],[Previous scores]]&lt;=59,"C",Exam_scores[[#This Row],[Previous scores]]&lt;=80,"B",Exam_scores[[#This Row],[Previous scores]]&gt;=81,"A")</f>
        <v>A</v>
      </c>
      <c r="F85">
        <v>88</v>
      </c>
      <c r="G85" t="str" cm="1">
        <f t="array" ref="G85">_xlfn.IFS(Exam_scores[[#This Row],[Exam score]]&lt;=20, "F",Exam_scores[[#This Row],[Exam score]]&lt;=30,"E",Exam_scores[[#This Row],[Exam score]]&lt;=40,"D",Exam_scores[[#This Row],[Exam score]]&lt;=45,"C",Exam_scores[[#This Row],[Exam score]]&lt;=49,"B",Exam_scores[[#This Row],[Exam score]]&gt;=50,"A")</f>
        <v>B</v>
      </c>
      <c r="H85">
        <v>48.9</v>
      </c>
    </row>
    <row r="86" spans="1:8" x14ac:dyDescent="0.35">
      <c r="A86" t="s">
        <v>84</v>
      </c>
      <c r="B86">
        <v>5.4</v>
      </c>
      <c r="C86">
        <v>6.4</v>
      </c>
      <c r="D86">
        <v>92.7</v>
      </c>
      <c r="E86" t="str" cm="1">
        <f t="array" ref="E86">_xlfn.IFS(Exam_scores[[#This Row],[Previous scores]]&lt;=40,"F",Exam_scores[[#This Row],[Previous scores]]&lt;=45,"E",Exam_scores[[#This Row],[Previous scores]]&lt;=49,"D",Exam_scores[[#This Row],[Previous scores]]&lt;=59,"C",Exam_scores[[#This Row],[Previous scores]]&lt;=80,"B",Exam_scores[[#This Row],[Previous scores]]&gt;=81,"A")</f>
        <v>B</v>
      </c>
      <c r="F86">
        <v>71</v>
      </c>
      <c r="G86" t="str" cm="1">
        <f t="array" ref="G86">_xlfn.IFS(Exam_scores[[#This Row],[Exam score]]&lt;=20, "F",Exam_scores[[#This Row],[Exam score]]&lt;=30,"E",Exam_scores[[#This Row],[Exam score]]&lt;=40,"D",Exam_scores[[#This Row],[Exam score]]&lt;=45,"C",Exam_scores[[#This Row],[Exam score]]&lt;=49,"B",Exam_scores[[#This Row],[Exam score]]&gt;=50,"A")</f>
        <v>D</v>
      </c>
      <c r="H86">
        <v>38</v>
      </c>
    </row>
    <row r="87" spans="1:8" x14ac:dyDescent="0.35">
      <c r="A87" t="s">
        <v>85</v>
      </c>
      <c r="B87">
        <v>3.4</v>
      </c>
      <c r="C87">
        <v>8.5</v>
      </c>
      <c r="D87">
        <v>97.7</v>
      </c>
      <c r="E87" t="str" cm="1">
        <f t="array" ref="E87">_xlfn.IFS(Exam_scores[[#This Row],[Previous scores]]&lt;=40,"F",Exam_scores[[#This Row],[Previous scores]]&lt;=45,"E",Exam_scores[[#This Row],[Previous scores]]&lt;=49,"D",Exam_scores[[#This Row],[Previous scores]]&lt;=59,"C",Exam_scores[[#This Row],[Previous scores]]&lt;=80,"B",Exam_scores[[#This Row],[Previous scores]]&gt;=81,"A")</f>
        <v>D</v>
      </c>
      <c r="F87">
        <v>46</v>
      </c>
      <c r="G87" t="str" cm="1">
        <f t="array" ref="G87">_xlfn.IFS(Exam_scores[[#This Row],[Exam score]]&lt;=20, "F",Exam_scores[[#This Row],[Exam score]]&lt;=30,"E",Exam_scores[[#This Row],[Exam score]]&lt;=40,"D",Exam_scores[[#This Row],[Exam score]]&lt;=45,"C",Exam_scores[[#This Row],[Exam score]]&lt;=49,"B",Exam_scores[[#This Row],[Exam score]]&gt;=50,"A")</f>
        <v>E</v>
      </c>
      <c r="H87">
        <v>26.5</v>
      </c>
    </row>
    <row r="88" spans="1:8" x14ac:dyDescent="0.35">
      <c r="A88" t="s">
        <v>86</v>
      </c>
      <c r="B88">
        <v>12</v>
      </c>
      <c r="C88">
        <v>8.1999999999999993</v>
      </c>
      <c r="D88">
        <v>71</v>
      </c>
      <c r="E88" t="str" cm="1">
        <f t="array" ref="E88">_xlfn.IFS(Exam_scores[[#This Row],[Previous scores]]&lt;=40,"F",Exam_scores[[#This Row],[Previous scores]]&lt;=45,"E",Exam_scores[[#This Row],[Previous scores]]&lt;=49,"D",Exam_scores[[#This Row],[Previous scores]]&lt;=59,"C",Exam_scores[[#This Row],[Previous scores]]&lt;=80,"B",Exam_scores[[#This Row],[Previous scores]]&gt;=81,"A")</f>
        <v>A</v>
      </c>
      <c r="F88">
        <v>95</v>
      </c>
      <c r="G88" t="str" cm="1">
        <f t="array" ref="G88">_xlfn.IFS(Exam_scores[[#This Row],[Exam score]]&lt;=20, "F",Exam_scores[[#This Row],[Exam score]]&lt;=30,"E",Exam_scores[[#This Row],[Exam score]]&lt;=40,"D",Exam_scores[[#This Row],[Exam score]]&lt;=45,"C",Exam_scores[[#This Row],[Exam score]]&lt;=49,"B",Exam_scores[[#This Row],[Exam score]]&gt;=50,"A")</f>
        <v>A</v>
      </c>
      <c r="H88">
        <v>51.3</v>
      </c>
    </row>
    <row r="89" spans="1:8" x14ac:dyDescent="0.35">
      <c r="A89" t="s">
        <v>87</v>
      </c>
      <c r="B89">
        <v>6.6</v>
      </c>
      <c r="C89">
        <v>4.5</v>
      </c>
      <c r="D89">
        <v>87.4</v>
      </c>
      <c r="E89" t="str" cm="1">
        <f t="array" ref="E89">_xlfn.IFS(Exam_scores[[#This Row],[Previous scores]]&lt;=40,"F",Exam_scores[[#This Row],[Previous scores]]&lt;=45,"E",Exam_scores[[#This Row],[Previous scores]]&lt;=49,"D",Exam_scores[[#This Row],[Previous scores]]&lt;=59,"C",Exam_scores[[#This Row],[Previous scores]]&lt;=80,"B",Exam_scores[[#This Row],[Previous scores]]&gt;=81,"A")</f>
        <v>F</v>
      </c>
      <c r="F89">
        <v>40</v>
      </c>
      <c r="G89" t="str" cm="1">
        <f t="array" ref="G89">_xlfn.IFS(Exam_scores[[#This Row],[Exam score]]&lt;=20, "F",Exam_scores[[#This Row],[Exam score]]&lt;=30,"E",Exam_scores[[#This Row],[Exam score]]&lt;=40,"D",Exam_scores[[#This Row],[Exam score]]&lt;=45,"C",Exam_scores[[#This Row],[Exam score]]&lt;=49,"B",Exam_scores[[#This Row],[Exam score]]&gt;=50,"A")</f>
        <v>E</v>
      </c>
      <c r="H89">
        <v>28.6</v>
      </c>
    </row>
    <row r="90" spans="1:8" x14ac:dyDescent="0.35">
      <c r="A90" t="s">
        <v>88</v>
      </c>
      <c r="B90">
        <v>2</v>
      </c>
      <c r="C90">
        <v>6.1</v>
      </c>
      <c r="D90">
        <v>77.3</v>
      </c>
      <c r="E90" t="str" cm="1">
        <f t="array" ref="E90">_xlfn.IFS(Exam_scores[[#This Row],[Previous scores]]&lt;=40,"F",Exam_scores[[#This Row],[Previous scores]]&lt;=45,"E",Exam_scores[[#This Row],[Previous scores]]&lt;=49,"D",Exam_scores[[#This Row],[Previous scores]]&lt;=59,"C",Exam_scores[[#This Row],[Previous scores]]&lt;=80,"B",Exam_scores[[#This Row],[Previous scores]]&gt;=81,"A")</f>
        <v>B</v>
      </c>
      <c r="F90">
        <v>76</v>
      </c>
      <c r="G90" t="str" cm="1">
        <f t="array" ref="G90">_xlfn.IFS(Exam_scores[[#This Row],[Exam score]]&lt;=20, "F",Exam_scores[[#This Row],[Exam score]]&lt;=30,"E",Exam_scores[[#This Row],[Exam score]]&lt;=40,"D",Exam_scores[[#This Row],[Exam score]]&lt;=45,"C",Exam_scores[[#This Row],[Exam score]]&lt;=49,"B",Exam_scores[[#This Row],[Exam score]]&gt;=50,"A")</f>
        <v>D</v>
      </c>
      <c r="H90">
        <v>32.1</v>
      </c>
    </row>
    <row r="91" spans="1:8" x14ac:dyDescent="0.35">
      <c r="A91" t="s">
        <v>89</v>
      </c>
      <c r="B91">
        <v>1.5</v>
      </c>
      <c r="C91">
        <v>5.4</v>
      </c>
      <c r="D91">
        <v>80.2</v>
      </c>
      <c r="E91" t="str" cm="1">
        <f t="array" ref="E91">_xlfn.IFS(Exam_scores[[#This Row],[Previous scores]]&lt;=40,"F",Exam_scores[[#This Row],[Previous scores]]&lt;=45,"E",Exam_scores[[#This Row],[Previous scores]]&lt;=49,"D",Exam_scores[[#This Row],[Previous scores]]&lt;=59,"C",Exam_scores[[#This Row],[Previous scores]]&lt;=80,"B",Exam_scores[[#This Row],[Previous scores]]&gt;=81,"A")</f>
        <v>C</v>
      </c>
      <c r="F91">
        <v>58</v>
      </c>
      <c r="G91" t="str" cm="1">
        <f t="array" ref="G91">_xlfn.IFS(Exam_scores[[#This Row],[Exam score]]&lt;=20, "F",Exam_scores[[#This Row],[Exam score]]&lt;=30,"E",Exam_scores[[#This Row],[Exam score]]&lt;=40,"D",Exam_scores[[#This Row],[Exam score]]&lt;=45,"C",Exam_scores[[#This Row],[Exam score]]&lt;=49,"B",Exam_scores[[#This Row],[Exam score]]&gt;=50,"A")</f>
        <v>E</v>
      </c>
      <c r="H91">
        <v>23.9</v>
      </c>
    </row>
    <row r="92" spans="1:8" x14ac:dyDescent="0.35">
      <c r="A92" t="s">
        <v>90</v>
      </c>
      <c r="B92">
        <v>2.2000000000000002</v>
      </c>
      <c r="C92">
        <v>4</v>
      </c>
      <c r="D92">
        <v>61</v>
      </c>
      <c r="E92" t="str" cm="1">
        <f t="array" ref="E92">_xlfn.IFS(Exam_scores[[#This Row],[Previous scores]]&lt;=40,"F",Exam_scores[[#This Row],[Previous scores]]&lt;=45,"E",Exam_scores[[#This Row],[Previous scores]]&lt;=49,"D",Exam_scores[[#This Row],[Previous scores]]&lt;=59,"C",Exam_scores[[#This Row],[Previous scores]]&lt;=80,"B",Exam_scores[[#This Row],[Previous scores]]&gt;=81,"A")</f>
        <v>B</v>
      </c>
      <c r="F92">
        <v>70</v>
      </c>
      <c r="G92" t="str" cm="1">
        <f t="array" ref="G92">_xlfn.IFS(Exam_scores[[#This Row],[Exam score]]&lt;=20, "F",Exam_scores[[#This Row],[Exam score]]&lt;=30,"E",Exam_scores[[#This Row],[Exam score]]&lt;=40,"D",Exam_scores[[#This Row],[Exam score]]&lt;=45,"C",Exam_scores[[#This Row],[Exam score]]&lt;=49,"B",Exam_scores[[#This Row],[Exam score]]&gt;=50,"A")</f>
        <v>E</v>
      </c>
      <c r="H92">
        <v>27.3</v>
      </c>
    </row>
    <row r="93" spans="1:8" x14ac:dyDescent="0.35">
      <c r="A93" t="s">
        <v>91</v>
      </c>
      <c r="B93">
        <v>7.9</v>
      </c>
      <c r="C93">
        <v>7.9</v>
      </c>
      <c r="D93">
        <v>61</v>
      </c>
      <c r="E93" t="str" cm="1">
        <f t="array" ref="E93">_xlfn.IFS(Exam_scores[[#This Row],[Previous scores]]&lt;=40,"F",Exam_scores[[#This Row],[Previous scores]]&lt;=45,"E",Exam_scores[[#This Row],[Previous scores]]&lt;=49,"D",Exam_scores[[#This Row],[Previous scores]]&lt;=59,"C",Exam_scores[[#This Row],[Previous scores]]&lt;=80,"B",Exam_scores[[#This Row],[Previous scores]]&gt;=81,"A")</f>
        <v>B</v>
      </c>
      <c r="F93">
        <v>70</v>
      </c>
      <c r="G93" t="str" cm="1">
        <f t="array" ref="G93">_xlfn.IFS(Exam_scores[[#This Row],[Exam score]]&lt;=20, "F",Exam_scores[[#This Row],[Exam score]]&lt;=30,"E",Exam_scores[[#This Row],[Exam score]]&lt;=40,"D",Exam_scores[[#This Row],[Exam score]]&lt;=45,"C",Exam_scores[[#This Row],[Exam score]]&lt;=49,"B",Exam_scores[[#This Row],[Exam score]]&gt;=50,"A")</f>
        <v>D</v>
      </c>
      <c r="H93">
        <v>34</v>
      </c>
    </row>
    <row r="94" spans="1:8" x14ac:dyDescent="0.35">
      <c r="A94" t="s">
        <v>92</v>
      </c>
      <c r="B94">
        <v>9.6999999999999993</v>
      </c>
      <c r="C94">
        <v>7.2</v>
      </c>
      <c r="D94">
        <v>71.8</v>
      </c>
      <c r="E94" t="str" cm="1">
        <f t="array" ref="E94">_xlfn.IFS(Exam_scores[[#This Row],[Previous scores]]&lt;=40,"F",Exam_scores[[#This Row],[Previous scores]]&lt;=45,"E",Exam_scores[[#This Row],[Previous scores]]&lt;=49,"D",Exam_scores[[#This Row],[Previous scores]]&lt;=59,"C",Exam_scores[[#This Row],[Previous scores]]&lt;=80,"B",Exam_scores[[#This Row],[Previous scores]]&gt;=81,"A")</f>
        <v>B</v>
      </c>
      <c r="F94">
        <v>68</v>
      </c>
      <c r="G94" t="str" cm="1">
        <f t="array" ref="G94">_xlfn.IFS(Exam_scores[[#This Row],[Exam score]]&lt;=20, "F",Exam_scores[[#This Row],[Exam score]]&lt;=30,"E",Exam_scores[[#This Row],[Exam score]]&lt;=40,"D",Exam_scores[[#This Row],[Exam score]]&lt;=45,"C",Exam_scores[[#This Row],[Exam score]]&lt;=49,"B",Exam_scores[[#This Row],[Exam score]]&gt;=50,"A")</f>
        <v>D</v>
      </c>
      <c r="H94">
        <v>37.5</v>
      </c>
    </row>
    <row r="95" spans="1:8" x14ac:dyDescent="0.35">
      <c r="A95" t="s">
        <v>93</v>
      </c>
      <c r="B95">
        <v>5.6</v>
      </c>
      <c r="C95">
        <v>5.3</v>
      </c>
      <c r="D95">
        <v>51.5</v>
      </c>
      <c r="E95" t="str" cm="1">
        <f t="array" ref="E95">_xlfn.IFS(Exam_scores[[#This Row],[Previous scores]]&lt;=40,"F",Exam_scores[[#This Row],[Previous scores]]&lt;=45,"E",Exam_scores[[#This Row],[Previous scores]]&lt;=49,"D",Exam_scores[[#This Row],[Previous scores]]&lt;=59,"C",Exam_scores[[#This Row],[Previous scores]]&lt;=80,"B",Exam_scores[[#This Row],[Previous scores]]&gt;=81,"A")</f>
        <v>B</v>
      </c>
      <c r="F95">
        <v>61</v>
      </c>
      <c r="G95" t="str" cm="1">
        <f t="array" ref="G95">_xlfn.IFS(Exam_scores[[#This Row],[Exam score]]&lt;=20, "F",Exam_scores[[#This Row],[Exam score]]&lt;=30,"E",Exam_scores[[#This Row],[Exam score]]&lt;=40,"D",Exam_scores[[#This Row],[Exam score]]&lt;=45,"C",Exam_scores[[#This Row],[Exam score]]&lt;=49,"B",Exam_scores[[#This Row],[Exam score]]&gt;=50,"A")</f>
        <v>E</v>
      </c>
      <c r="H95">
        <v>29.1</v>
      </c>
    </row>
    <row r="96" spans="1:8" x14ac:dyDescent="0.35">
      <c r="A96" t="s">
        <v>94</v>
      </c>
      <c r="B96">
        <v>1.7</v>
      </c>
      <c r="C96">
        <v>7.7</v>
      </c>
      <c r="D96">
        <v>66.8</v>
      </c>
      <c r="E96" t="str" cm="1">
        <f t="array" ref="E96">_xlfn.IFS(Exam_scores[[#This Row],[Previous scores]]&lt;=40,"F",Exam_scores[[#This Row],[Previous scores]]&lt;=45,"E",Exam_scores[[#This Row],[Previous scores]]&lt;=49,"D",Exam_scores[[#This Row],[Previous scores]]&lt;=59,"C",Exam_scores[[#This Row],[Previous scores]]&lt;=80,"B",Exam_scores[[#This Row],[Previous scores]]&gt;=81,"A")</f>
        <v>C</v>
      </c>
      <c r="F96">
        <v>51</v>
      </c>
      <c r="G96" t="str" cm="1">
        <f t="array" ref="G96">_xlfn.IFS(Exam_scores[[#This Row],[Exam score]]&lt;=20, "F",Exam_scores[[#This Row],[Exam score]]&lt;=30,"E",Exam_scores[[#This Row],[Exam score]]&lt;=40,"D",Exam_scores[[#This Row],[Exam score]]&lt;=45,"C",Exam_scores[[#This Row],[Exam score]]&lt;=49,"B",Exam_scores[[#This Row],[Exam score]]&gt;=50,"A")</f>
        <v>E</v>
      </c>
      <c r="H96">
        <v>28.1</v>
      </c>
    </row>
    <row r="97" spans="1:8" x14ac:dyDescent="0.35">
      <c r="A97" t="s">
        <v>95</v>
      </c>
      <c r="B97">
        <v>5.2</v>
      </c>
      <c r="C97">
        <v>6.8</v>
      </c>
      <c r="D97">
        <v>84</v>
      </c>
      <c r="E97" t="str" cm="1">
        <f t="array" ref="E97">_xlfn.IFS(Exam_scores[[#This Row],[Previous scores]]&lt;=40,"F",Exam_scores[[#This Row],[Previous scores]]&lt;=45,"E",Exam_scores[[#This Row],[Previous scores]]&lt;=49,"D",Exam_scores[[#This Row],[Previous scores]]&lt;=59,"C",Exam_scores[[#This Row],[Previous scores]]&lt;=80,"B",Exam_scores[[#This Row],[Previous scores]]&gt;=81,"A")</f>
        <v>E</v>
      </c>
      <c r="F97">
        <v>43</v>
      </c>
      <c r="G97" t="str" cm="1">
        <f t="array" ref="G97">_xlfn.IFS(Exam_scores[[#This Row],[Exam score]]&lt;=20, "F",Exam_scores[[#This Row],[Exam score]]&lt;=30,"E",Exam_scores[[#This Row],[Exam score]]&lt;=40,"D",Exam_scores[[#This Row],[Exam score]]&lt;=45,"C",Exam_scores[[#This Row],[Exam score]]&lt;=49,"B",Exam_scores[[#This Row],[Exam score]]&gt;=50,"A")</f>
        <v>E</v>
      </c>
      <c r="H97">
        <v>28.7</v>
      </c>
    </row>
    <row r="98" spans="1:8" x14ac:dyDescent="0.35">
      <c r="A98" t="s">
        <v>96</v>
      </c>
      <c r="B98">
        <v>12</v>
      </c>
      <c r="C98">
        <v>6.1</v>
      </c>
      <c r="D98">
        <v>70.2</v>
      </c>
      <c r="E98" t="str" cm="1">
        <f t="array" ref="E98">_xlfn.IFS(Exam_scores[[#This Row],[Previous scores]]&lt;=40,"F",Exam_scores[[#This Row],[Previous scores]]&lt;=45,"E",Exam_scores[[#This Row],[Previous scores]]&lt;=49,"D",Exam_scores[[#This Row],[Previous scores]]&lt;=59,"C",Exam_scores[[#This Row],[Previous scores]]&lt;=80,"B",Exam_scores[[#This Row],[Previous scores]]&gt;=81,"A")</f>
        <v>C</v>
      </c>
      <c r="F98">
        <v>56</v>
      </c>
      <c r="G98" t="str" cm="1">
        <f t="array" ref="G98">_xlfn.IFS(Exam_scores[[#This Row],[Exam score]]&lt;=20, "F",Exam_scores[[#This Row],[Exam score]]&lt;=30,"E",Exam_scores[[#This Row],[Exam score]]&lt;=40,"D",Exam_scores[[#This Row],[Exam score]]&lt;=45,"C",Exam_scores[[#This Row],[Exam score]]&lt;=49,"B",Exam_scores[[#This Row],[Exam score]]&gt;=50,"A")</f>
        <v>D</v>
      </c>
      <c r="H98">
        <v>36.9</v>
      </c>
    </row>
    <row r="99" spans="1:8" x14ac:dyDescent="0.35">
      <c r="A99" t="s">
        <v>97</v>
      </c>
      <c r="B99">
        <v>6.8</v>
      </c>
      <c r="C99">
        <v>4</v>
      </c>
      <c r="D99">
        <v>58.3</v>
      </c>
      <c r="E99" t="str" cm="1">
        <f t="array" ref="E99">_xlfn.IFS(Exam_scores[[#This Row],[Previous scores]]&lt;=40,"F",Exam_scores[[#This Row],[Previous scores]]&lt;=45,"E",Exam_scores[[#This Row],[Previous scores]]&lt;=49,"D",Exam_scores[[#This Row],[Previous scores]]&lt;=59,"C",Exam_scores[[#This Row],[Previous scores]]&lt;=80,"B",Exam_scores[[#This Row],[Previous scores]]&gt;=81,"A")</f>
        <v>A</v>
      </c>
      <c r="F99">
        <v>95</v>
      </c>
      <c r="G99" t="str" cm="1">
        <f t="array" ref="G99">_xlfn.IFS(Exam_scores[[#This Row],[Exam score]]&lt;=20, "F",Exam_scores[[#This Row],[Exam score]]&lt;=30,"E",Exam_scores[[#This Row],[Exam score]]&lt;=40,"D",Exam_scores[[#This Row],[Exam score]]&lt;=45,"C",Exam_scores[[#This Row],[Exam score]]&lt;=49,"B",Exam_scores[[#This Row],[Exam score]]&gt;=50,"A")</f>
        <v>D</v>
      </c>
      <c r="H99">
        <v>36</v>
      </c>
    </row>
    <row r="100" spans="1:8" x14ac:dyDescent="0.35">
      <c r="A100" t="s">
        <v>98</v>
      </c>
      <c r="B100">
        <v>11.7</v>
      </c>
      <c r="C100">
        <v>4.4000000000000004</v>
      </c>
      <c r="D100">
        <v>73.400000000000006</v>
      </c>
      <c r="E100" t="str" cm="1">
        <f t="array" ref="E100">_xlfn.IFS(Exam_scores[[#This Row],[Previous scores]]&lt;=40,"F",Exam_scores[[#This Row],[Previous scores]]&lt;=45,"E",Exam_scores[[#This Row],[Previous scores]]&lt;=49,"D",Exam_scores[[#This Row],[Previous scores]]&lt;=59,"C",Exam_scores[[#This Row],[Previous scores]]&lt;=80,"B",Exam_scores[[#This Row],[Previous scores]]&gt;=81,"A")</f>
        <v>B</v>
      </c>
      <c r="F100">
        <v>70</v>
      </c>
      <c r="G100" t="str" cm="1">
        <f t="array" ref="G100">_xlfn.IFS(Exam_scores[[#This Row],[Exam score]]&lt;=20, "F",Exam_scores[[#This Row],[Exam score]]&lt;=30,"E",Exam_scores[[#This Row],[Exam score]]&lt;=40,"D",Exam_scores[[#This Row],[Exam score]]&lt;=45,"C",Exam_scores[[#This Row],[Exam score]]&lt;=49,"B",Exam_scores[[#This Row],[Exam score]]&gt;=50,"A")</f>
        <v>D</v>
      </c>
      <c r="H100">
        <v>39.9</v>
      </c>
    </row>
    <row r="101" spans="1:8" x14ac:dyDescent="0.35">
      <c r="A101" t="s">
        <v>99</v>
      </c>
      <c r="B101">
        <v>10.5</v>
      </c>
      <c r="C101">
        <v>8.4</v>
      </c>
      <c r="D101">
        <v>56.4</v>
      </c>
      <c r="E101" t="str" cm="1">
        <f t="array" ref="E101">_xlfn.IFS(Exam_scores[[#This Row],[Previous scores]]&lt;=40,"F",Exam_scores[[#This Row],[Previous scores]]&lt;=45,"E",Exam_scores[[#This Row],[Previous scores]]&lt;=49,"D",Exam_scores[[#This Row],[Previous scores]]&lt;=59,"C",Exam_scores[[#This Row],[Previous scores]]&lt;=80,"B",Exam_scores[[#This Row],[Previous scores]]&gt;=81,"A")</f>
        <v>D</v>
      </c>
      <c r="F101">
        <v>47</v>
      </c>
      <c r="G101" t="str" cm="1">
        <f t="array" ref="G101">_xlfn.IFS(Exam_scores[[#This Row],[Exam score]]&lt;=20, "F",Exam_scores[[#This Row],[Exam score]]&lt;=30,"E",Exam_scores[[#This Row],[Exam score]]&lt;=40,"D",Exam_scores[[#This Row],[Exam score]]&lt;=45,"C",Exam_scores[[#This Row],[Exam score]]&lt;=49,"B",Exam_scores[[#This Row],[Exam score]]&gt;=50,"A")</f>
        <v>D</v>
      </c>
      <c r="H101">
        <v>37.1</v>
      </c>
    </row>
    <row r="102" spans="1:8" x14ac:dyDescent="0.35">
      <c r="A102" t="s">
        <v>100</v>
      </c>
      <c r="B102">
        <v>1.1000000000000001</v>
      </c>
      <c r="C102">
        <v>8.5</v>
      </c>
      <c r="D102">
        <v>81.099999999999994</v>
      </c>
      <c r="E102" t="str" cm="1">
        <f t="array" ref="E102">_xlfn.IFS(Exam_scores[[#This Row],[Previous scores]]&lt;=40,"F",Exam_scores[[#This Row],[Previous scores]]&lt;=45,"E",Exam_scores[[#This Row],[Previous scores]]&lt;=49,"D",Exam_scores[[#This Row],[Previous scores]]&lt;=59,"C",Exam_scores[[#This Row],[Previous scores]]&lt;=80,"B",Exam_scores[[#This Row],[Previous scores]]&gt;=81,"A")</f>
        <v>A</v>
      </c>
      <c r="F102">
        <v>92</v>
      </c>
      <c r="G102" t="str" cm="1">
        <f t="array" ref="G102">_xlfn.IFS(Exam_scores[[#This Row],[Exam score]]&lt;=20, "F",Exam_scores[[#This Row],[Exam score]]&lt;=30,"E",Exam_scores[[#This Row],[Exam score]]&lt;=40,"D",Exam_scores[[#This Row],[Exam score]]&lt;=45,"C",Exam_scores[[#This Row],[Exam score]]&lt;=49,"B",Exam_scores[[#This Row],[Exam score]]&gt;=50,"A")</f>
        <v>D</v>
      </c>
      <c r="H102">
        <v>31.4</v>
      </c>
    </row>
    <row r="103" spans="1:8" x14ac:dyDescent="0.35">
      <c r="A103" t="s">
        <v>101</v>
      </c>
      <c r="B103">
        <v>8.9</v>
      </c>
      <c r="C103">
        <v>6.7</v>
      </c>
      <c r="D103">
        <v>51.3</v>
      </c>
      <c r="E103" t="str" cm="1">
        <f t="array" ref="E103">_xlfn.IFS(Exam_scores[[#This Row],[Previous scores]]&lt;=40,"F",Exam_scores[[#This Row],[Previous scores]]&lt;=45,"E",Exam_scores[[#This Row],[Previous scores]]&lt;=49,"D",Exam_scores[[#This Row],[Previous scores]]&lt;=59,"C",Exam_scores[[#This Row],[Previous scores]]&lt;=80,"B",Exam_scores[[#This Row],[Previous scores]]&gt;=81,"A")</f>
        <v>E</v>
      </c>
      <c r="F103">
        <v>44</v>
      </c>
      <c r="G103" t="str" cm="1">
        <f t="array" ref="G103">_xlfn.IFS(Exam_scores[[#This Row],[Exam score]]&lt;=20, "F",Exam_scores[[#This Row],[Exam score]]&lt;=30,"E",Exam_scores[[#This Row],[Exam score]]&lt;=40,"D",Exam_scores[[#This Row],[Exam score]]&lt;=45,"C",Exam_scores[[#This Row],[Exam score]]&lt;=49,"B",Exam_scores[[#This Row],[Exam score]]&gt;=50,"A")</f>
        <v>D</v>
      </c>
      <c r="H103">
        <v>31.3</v>
      </c>
    </row>
    <row r="104" spans="1:8" x14ac:dyDescent="0.35">
      <c r="A104" t="s">
        <v>102</v>
      </c>
      <c r="B104">
        <v>8.5</v>
      </c>
      <c r="C104">
        <v>8.1999999999999993</v>
      </c>
      <c r="D104">
        <v>69.7</v>
      </c>
      <c r="E104" t="str" cm="1">
        <f t="array" ref="E104">_xlfn.IFS(Exam_scores[[#This Row],[Previous scores]]&lt;=40,"F",Exam_scores[[#This Row],[Previous scores]]&lt;=45,"E",Exam_scores[[#This Row],[Previous scores]]&lt;=49,"D",Exam_scores[[#This Row],[Previous scores]]&lt;=59,"C",Exam_scores[[#This Row],[Previous scores]]&lt;=80,"B",Exam_scores[[#This Row],[Previous scores]]&gt;=81,"A")</f>
        <v>B</v>
      </c>
      <c r="F104">
        <v>65</v>
      </c>
      <c r="G104" t="str" cm="1">
        <f t="array" ref="G104">_xlfn.IFS(Exam_scores[[#This Row],[Exam score]]&lt;=20, "F",Exam_scores[[#This Row],[Exam score]]&lt;=30,"E",Exam_scores[[#This Row],[Exam score]]&lt;=40,"D",Exam_scores[[#This Row],[Exam score]]&lt;=45,"C",Exam_scores[[#This Row],[Exam score]]&lt;=49,"B",Exam_scores[[#This Row],[Exam score]]&gt;=50,"A")</f>
        <v>D</v>
      </c>
      <c r="H104">
        <v>35.700000000000003</v>
      </c>
    </row>
    <row r="105" spans="1:8" x14ac:dyDescent="0.35">
      <c r="A105" t="s">
        <v>103</v>
      </c>
      <c r="B105">
        <v>6.9</v>
      </c>
      <c r="C105">
        <v>6.9</v>
      </c>
      <c r="D105">
        <v>78.2</v>
      </c>
      <c r="E105" t="str" cm="1">
        <f t="array" ref="E105">_xlfn.IFS(Exam_scores[[#This Row],[Previous scores]]&lt;=40,"F",Exam_scores[[#This Row],[Previous scores]]&lt;=45,"E",Exam_scores[[#This Row],[Previous scores]]&lt;=49,"D",Exam_scores[[#This Row],[Previous scores]]&lt;=59,"C",Exam_scores[[#This Row],[Previous scores]]&lt;=80,"B",Exam_scores[[#This Row],[Previous scores]]&gt;=81,"A")</f>
        <v>B</v>
      </c>
      <c r="F105">
        <v>71</v>
      </c>
      <c r="G105" t="str" cm="1">
        <f t="array" ref="G105">_xlfn.IFS(Exam_scores[[#This Row],[Exam score]]&lt;=20, "F",Exam_scores[[#This Row],[Exam score]]&lt;=30,"E",Exam_scores[[#This Row],[Exam score]]&lt;=40,"D",Exam_scores[[#This Row],[Exam score]]&lt;=45,"C",Exam_scores[[#This Row],[Exam score]]&lt;=49,"B",Exam_scores[[#This Row],[Exam score]]&gt;=50,"A")</f>
        <v>D</v>
      </c>
      <c r="H105">
        <v>32.6</v>
      </c>
    </row>
    <row r="106" spans="1:8" x14ac:dyDescent="0.35">
      <c r="A106" t="s">
        <v>104</v>
      </c>
      <c r="B106">
        <v>3.9</v>
      </c>
      <c r="C106">
        <v>4.7</v>
      </c>
      <c r="D106">
        <v>51.4</v>
      </c>
      <c r="E106" t="str" cm="1">
        <f t="array" ref="E106">_xlfn.IFS(Exam_scores[[#This Row],[Previous scores]]&lt;=40,"F",Exam_scores[[#This Row],[Previous scores]]&lt;=45,"E",Exam_scores[[#This Row],[Previous scores]]&lt;=49,"D",Exam_scores[[#This Row],[Previous scores]]&lt;=59,"C",Exam_scores[[#This Row],[Previous scores]]&lt;=80,"B",Exam_scores[[#This Row],[Previous scores]]&gt;=81,"A")</f>
        <v>E</v>
      </c>
      <c r="F106">
        <v>44</v>
      </c>
      <c r="G106" t="str" cm="1">
        <f t="array" ref="G106">_xlfn.IFS(Exam_scores[[#This Row],[Exam score]]&lt;=20, "F",Exam_scores[[#This Row],[Exam score]]&lt;=30,"E",Exam_scores[[#This Row],[Exam score]]&lt;=40,"D",Exam_scores[[#This Row],[Exam score]]&lt;=45,"C",Exam_scores[[#This Row],[Exam score]]&lt;=49,"B",Exam_scores[[#This Row],[Exam score]]&gt;=50,"A")</f>
        <v>E</v>
      </c>
      <c r="H106">
        <v>24.1</v>
      </c>
    </row>
    <row r="107" spans="1:8" x14ac:dyDescent="0.35">
      <c r="A107" t="s">
        <v>105</v>
      </c>
      <c r="B107">
        <v>8.1</v>
      </c>
      <c r="C107">
        <v>4.5999999999999996</v>
      </c>
      <c r="D107">
        <v>82.1</v>
      </c>
      <c r="E107" t="str" cm="1">
        <f t="array" ref="E107">_xlfn.IFS(Exam_scores[[#This Row],[Previous scores]]&lt;=40,"F",Exam_scores[[#This Row],[Previous scores]]&lt;=45,"E",Exam_scores[[#This Row],[Previous scores]]&lt;=49,"D",Exam_scores[[#This Row],[Previous scores]]&lt;=59,"C",Exam_scores[[#This Row],[Previous scores]]&lt;=80,"B",Exam_scores[[#This Row],[Previous scores]]&gt;=81,"A")</f>
        <v>B</v>
      </c>
      <c r="F107">
        <v>76</v>
      </c>
      <c r="G107" t="str" cm="1">
        <f t="array" ref="G107">_xlfn.IFS(Exam_scores[[#This Row],[Exam score]]&lt;=20, "F",Exam_scores[[#This Row],[Exam score]]&lt;=30,"E",Exam_scores[[#This Row],[Exam score]]&lt;=40,"D",Exam_scores[[#This Row],[Exam score]]&lt;=45,"C",Exam_scores[[#This Row],[Exam score]]&lt;=49,"B",Exam_scores[[#This Row],[Exam score]]&gt;=50,"A")</f>
        <v>D</v>
      </c>
      <c r="H107">
        <v>38.200000000000003</v>
      </c>
    </row>
    <row r="108" spans="1:8" x14ac:dyDescent="0.35">
      <c r="A108" t="s">
        <v>106</v>
      </c>
      <c r="B108">
        <v>2.2000000000000002</v>
      </c>
      <c r="C108">
        <v>5.5</v>
      </c>
      <c r="D108">
        <v>56.8</v>
      </c>
      <c r="E108" t="str" cm="1">
        <f t="array" ref="E108">_xlfn.IFS(Exam_scores[[#This Row],[Previous scores]]&lt;=40,"F",Exam_scores[[#This Row],[Previous scores]]&lt;=45,"E",Exam_scores[[#This Row],[Previous scores]]&lt;=49,"D",Exam_scores[[#This Row],[Previous scores]]&lt;=59,"C",Exam_scores[[#This Row],[Previous scores]]&lt;=80,"B",Exam_scores[[#This Row],[Previous scores]]&gt;=81,"A")</f>
        <v>B</v>
      </c>
      <c r="F108">
        <v>80</v>
      </c>
      <c r="G108" t="str" cm="1">
        <f t="array" ref="G108">_xlfn.IFS(Exam_scores[[#This Row],[Exam score]]&lt;=20, "F",Exam_scores[[#This Row],[Exam score]]&lt;=30,"E",Exam_scores[[#This Row],[Exam score]]&lt;=40,"D",Exam_scores[[#This Row],[Exam score]]&lt;=45,"C",Exam_scores[[#This Row],[Exam score]]&lt;=49,"B",Exam_scores[[#This Row],[Exam score]]&gt;=50,"A")</f>
        <v>E</v>
      </c>
      <c r="H108">
        <v>23.7</v>
      </c>
    </row>
    <row r="109" spans="1:8" x14ac:dyDescent="0.35">
      <c r="A109" t="s">
        <v>107</v>
      </c>
      <c r="B109">
        <v>5.8</v>
      </c>
      <c r="C109">
        <v>8.5</v>
      </c>
      <c r="D109">
        <v>73.099999999999994</v>
      </c>
      <c r="E109" t="str" cm="1">
        <f t="array" ref="E109">_xlfn.IFS(Exam_scores[[#This Row],[Previous scores]]&lt;=40,"F",Exam_scores[[#This Row],[Previous scores]]&lt;=45,"E",Exam_scores[[#This Row],[Previous scores]]&lt;=49,"D",Exam_scores[[#This Row],[Previous scores]]&lt;=59,"C",Exam_scores[[#This Row],[Previous scores]]&lt;=80,"B",Exam_scores[[#This Row],[Previous scores]]&gt;=81,"A")</f>
        <v>A</v>
      </c>
      <c r="F109">
        <v>83</v>
      </c>
      <c r="G109" t="str" cm="1">
        <f t="array" ref="G109">_xlfn.IFS(Exam_scores[[#This Row],[Exam score]]&lt;=20, "F",Exam_scores[[#This Row],[Exam score]]&lt;=30,"E",Exam_scores[[#This Row],[Exam score]]&lt;=40,"D",Exam_scores[[#This Row],[Exam score]]&lt;=45,"C",Exam_scores[[#This Row],[Exam score]]&lt;=49,"B",Exam_scores[[#This Row],[Exam score]]&gt;=50,"A")</f>
        <v>D</v>
      </c>
      <c r="H109">
        <v>39.200000000000003</v>
      </c>
    </row>
    <row r="110" spans="1:8" x14ac:dyDescent="0.35">
      <c r="A110" t="s">
        <v>108</v>
      </c>
      <c r="B110">
        <v>6</v>
      </c>
      <c r="C110">
        <v>8</v>
      </c>
      <c r="D110">
        <v>52.5</v>
      </c>
      <c r="E110" t="str" cm="1">
        <f t="array" ref="E110">_xlfn.IFS(Exam_scores[[#This Row],[Previous scores]]&lt;=40,"F",Exam_scores[[#This Row],[Previous scores]]&lt;=45,"E",Exam_scores[[#This Row],[Previous scores]]&lt;=49,"D",Exam_scores[[#This Row],[Previous scores]]&lt;=59,"C",Exam_scores[[#This Row],[Previous scores]]&lt;=80,"B",Exam_scores[[#This Row],[Previous scores]]&gt;=81,"A")</f>
        <v>E</v>
      </c>
      <c r="F110">
        <v>43</v>
      </c>
      <c r="G110" t="str" cm="1">
        <f t="array" ref="G110">_xlfn.IFS(Exam_scores[[#This Row],[Exam score]]&lt;=20, "F",Exam_scores[[#This Row],[Exam score]]&lt;=30,"E",Exam_scores[[#This Row],[Exam score]]&lt;=40,"D",Exam_scores[[#This Row],[Exam score]]&lt;=45,"C",Exam_scores[[#This Row],[Exam score]]&lt;=49,"B",Exam_scores[[#This Row],[Exam score]]&gt;=50,"A")</f>
        <v>E</v>
      </c>
      <c r="H110">
        <v>23.2</v>
      </c>
    </row>
    <row r="111" spans="1:8" x14ac:dyDescent="0.35">
      <c r="A111" t="s">
        <v>109</v>
      </c>
      <c r="B111">
        <v>11.5</v>
      </c>
      <c r="C111">
        <v>8.3000000000000007</v>
      </c>
      <c r="D111">
        <v>69</v>
      </c>
      <c r="E111" t="str" cm="1">
        <f t="array" ref="E111">_xlfn.IFS(Exam_scores[[#This Row],[Previous scores]]&lt;=40,"F",Exam_scores[[#This Row],[Previous scores]]&lt;=45,"E",Exam_scores[[#This Row],[Previous scores]]&lt;=49,"D",Exam_scores[[#This Row],[Previous scores]]&lt;=59,"C",Exam_scores[[#This Row],[Previous scores]]&lt;=80,"B",Exam_scores[[#This Row],[Previous scores]]&gt;=81,"A")</f>
        <v>D</v>
      </c>
      <c r="F111">
        <v>49</v>
      </c>
      <c r="G111" t="str" cm="1">
        <f t="array" ref="G111">_xlfn.IFS(Exam_scores[[#This Row],[Exam score]]&lt;=20, "F",Exam_scores[[#This Row],[Exam score]]&lt;=30,"E",Exam_scores[[#This Row],[Exam score]]&lt;=40,"D",Exam_scores[[#This Row],[Exam score]]&lt;=45,"C",Exam_scores[[#This Row],[Exam score]]&lt;=49,"B",Exam_scores[[#This Row],[Exam score]]&gt;=50,"A")</f>
        <v>C</v>
      </c>
      <c r="H111">
        <v>42.2</v>
      </c>
    </row>
    <row r="112" spans="1:8" x14ac:dyDescent="0.35">
      <c r="A112" t="s">
        <v>110</v>
      </c>
      <c r="B112">
        <v>10.6</v>
      </c>
      <c r="C112">
        <v>8.5</v>
      </c>
      <c r="D112">
        <v>60.6</v>
      </c>
      <c r="E112" t="str" cm="1">
        <f t="array" ref="E112">_xlfn.IFS(Exam_scores[[#This Row],[Previous scores]]&lt;=40,"F",Exam_scores[[#This Row],[Previous scores]]&lt;=45,"E",Exam_scores[[#This Row],[Previous scores]]&lt;=49,"D",Exam_scores[[#This Row],[Previous scores]]&lt;=59,"C",Exam_scores[[#This Row],[Previous scores]]&lt;=80,"B",Exam_scores[[#This Row],[Previous scores]]&gt;=81,"A")</f>
        <v>D</v>
      </c>
      <c r="F112">
        <v>49</v>
      </c>
      <c r="G112" t="str" cm="1">
        <f t="array" ref="G112">_xlfn.IFS(Exam_scores[[#This Row],[Exam score]]&lt;=20, "F",Exam_scores[[#This Row],[Exam score]]&lt;=30,"E",Exam_scores[[#This Row],[Exam score]]&lt;=40,"D",Exam_scores[[#This Row],[Exam score]]&lt;=45,"C",Exam_scores[[#This Row],[Exam score]]&lt;=49,"B",Exam_scores[[#This Row],[Exam score]]&gt;=50,"A")</f>
        <v>D</v>
      </c>
      <c r="H112">
        <v>39.6</v>
      </c>
    </row>
    <row r="113" spans="1:8" x14ac:dyDescent="0.35">
      <c r="A113" t="s">
        <v>111</v>
      </c>
      <c r="B113">
        <v>3.9</v>
      </c>
      <c r="C113">
        <v>5.0999999999999996</v>
      </c>
      <c r="D113">
        <v>66.3</v>
      </c>
      <c r="E113" t="str" cm="1">
        <f t="array" ref="E113">_xlfn.IFS(Exam_scores[[#This Row],[Previous scores]]&lt;=40,"F",Exam_scores[[#This Row],[Previous scores]]&lt;=45,"E",Exam_scores[[#This Row],[Previous scores]]&lt;=49,"D",Exam_scores[[#This Row],[Previous scores]]&lt;=59,"C",Exam_scores[[#This Row],[Previous scores]]&lt;=80,"B",Exam_scores[[#This Row],[Previous scores]]&gt;=81,"A")</f>
        <v>A</v>
      </c>
      <c r="F113">
        <v>91</v>
      </c>
      <c r="G113" t="str" cm="1">
        <f t="array" ref="G113">_xlfn.IFS(Exam_scores[[#This Row],[Exam score]]&lt;=20, "F",Exam_scores[[#This Row],[Exam score]]&lt;=30,"E",Exam_scores[[#This Row],[Exam score]]&lt;=40,"D",Exam_scores[[#This Row],[Exam score]]&lt;=45,"C",Exam_scores[[#This Row],[Exam score]]&lt;=49,"B",Exam_scores[[#This Row],[Exam score]]&gt;=50,"A")</f>
        <v>D</v>
      </c>
      <c r="H113">
        <v>34.799999999999997</v>
      </c>
    </row>
    <row r="114" spans="1:8" x14ac:dyDescent="0.35">
      <c r="A114" t="s">
        <v>112</v>
      </c>
      <c r="B114">
        <v>6.5</v>
      </c>
      <c r="C114">
        <v>5.2</v>
      </c>
      <c r="D114">
        <v>88.1</v>
      </c>
      <c r="E114" t="str" cm="1">
        <f t="array" ref="E114">_xlfn.IFS(Exam_scores[[#This Row],[Previous scores]]&lt;=40,"F",Exam_scores[[#This Row],[Previous scores]]&lt;=45,"E",Exam_scores[[#This Row],[Previous scores]]&lt;=49,"D",Exam_scores[[#This Row],[Previous scores]]&lt;=59,"C",Exam_scores[[#This Row],[Previous scores]]&lt;=80,"B",Exam_scores[[#This Row],[Previous scores]]&gt;=81,"A")</f>
        <v>B</v>
      </c>
      <c r="F114">
        <v>76</v>
      </c>
      <c r="G114" t="str" cm="1">
        <f t="array" ref="G114">_xlfn.IFS(Exam_scores[[#This Row],[Exam score]]&lt;=20, "F",Exam_scores[[#This Row],[Exam score]]&lt;=30,"E",Exam_scores[[#This Row],[Exam score]]&lt;=40,"D",Exam_scores[[#This Row],[Exam score]]&lt;=45,"C",Exam_scores[[#This Row],[Exam score]]&lt;=49,"B",Exam_scores[[#This Row],[Exam score]]&gt;=50,"A")</f>
        <v>D</v>
      </c>
      <c r="H114">
        <v>34.6</v>
      </c>
    </row>
    <row r="115" spans="1:8" x14ac:dyDescent="0.35">
      <c r="A115" t="s">
        <v>113</v>
      </c>
      <c r="B115">
        <v>3</v>
      </c>
      <c r="C115">
        <v>4.5</v>
      </c>
      <c r="D115">
        <v>69</v>
      </c>
      <c r="E115" t="str" cm="1">
        <f t="array" ref="E115">_xlfn.IFS(Exam_scores[[#This Row],[Previous scores]]&lt;=40,"F",Exam_scores[[#This Row],[Previous scores]]&lt;=45,"E",Exam_scores[[#This Row],[Previous scores]]&lt;=49,"D",Exam_scores[[#This Row],[Previous scores]]&lt;=59,"C",Exam_scores[[#This Row],[Previous scores]]&lt;=80,"B",Exam_scores[[#This Row],[Previous scores]]&gt;=81,"A")</f>
        <v>C</v>
      </c>
      <c r="F115">
        <v>59</v>
      </c>
      <c r="G115" t="str" cm="1">
        <f t="array" ref="G115">_xlfn.IFS(Exam_scores[[#This Row],[Exam score]]&lt;=20, "F",Exam_scores[[#This Row],[Exam score]]&lt;=30,"E",Exam_scores[[#This Row],[Exam score]]&lt;=40,"D",Exam_scores[[#This Row],[Exam score]]&lt;=45,"C",Exam_scores[[#This Row],[Exam score]]&lt;=49,"B",Exam_scores[[#This Row],[Exam score]]&gt;=50,"A")</f>
        <v>E</v>
      </c>
      <c r="H115">
        <v>26.4</v>
      </c>
    </row>
    <row r="116" spans="1:8" x14ac:dyDescent="0.35">
      <c r="A116" t="s">
        <v>114</v>
      </c>
      <c r="B116">
        <v>11</v>
      </c>
      <c r="C116">
        <v>7.9</v>
      </c>
      <c r="D116">
        <v>87.6</v>
      </c>
      <c r="E116" t="str" cm="1">
        <f t="array" ref="E116">_xlfn.IFS(Exam_scores[[#This Row],[Previous scores]]&lt;=40,"F",Exam_scores[[#This Row],[Previous scores]]&lt;=45,"E",Exam_scores[[#This Row],[Previous scores]]&lt;=49,"D",Exam_scores[[#This Row],[Previous scores]]&lt;=59,"C",Exam_scores[[#This Row],[Previous scores]]&lt;=80,"B",Exam_scores[[#This Row],[Previous scores]]&gt;=81,"A")</f>
        <v>E</v>
      </c>
      <c r="F116">
        <v>45</v>
      </c>
      <c r="G116" t="str" cm="1">
        <f t="array" ref="G116">_xlfn.IFS(Exam_scores[[#This Row],[Exam score]]&lt;=20, "F",Exam_scores[[#This Row],[Exam score]]&lt;=30,"E",Exam_scores[[#This Row],[Exam score]]&lt;=40,"D",Exam_scores[[#This Row],[Exam score]]&lt;=45,"C",Exam_scores[[#This Row],[Exam score]]&lt;=49,"B",Exam_scores[[#This Row],[Exam score]]&gt;=50,"A")</f>
        <v>C</v>
      </c>
      <c r="H116">
        <v>43.1</v>
      </c>
    </row>
    <row r="117" spans="1:8" x14ac:dyDescent="0.35">
      <c r="A117" t="s">
        <v>115</v>
      </c>
      <c r="B117">
        <v>10.6</v>
      </c>
      <c r="C117">
        <v>8.4</v>
      </c>
      <c r="D117">
        <v>91.6</v>
      </c>
      <c r="E117" t="str" cm="1">
        <f t="array" ref="E117">_xlfn.IFS(Exam_scores[[#This Row],[Previous scores]]&lt;=40,"F",Exam_scores[[#This Row],[Previous scores]]&lt;=45,"E",Exam_scores[[#This Row],[Previous scores]]&lt;=49,"D",Exam_scores[[#This Row],[Previous scores]]&lt;=59,"C",Exam_scores[[#This Row],[Previous scores]]&lt;=80,"B",Exam_scores[[#This Row],[Previous scores]]&gt;=81,"A")</f>
        <v>C</v>
      </c>
      <c r="F117">
        <v>55</v>
      </c>
      <c r="G117" t="str" cm="1">
        <f t="array" ref="G117">_xlfn.IFS(Exam_scores[[#This Row],[Exam score]]&lt;=20, "F",Exam_scores[[#This Row],[Exam score]]&lt;=30,"E",Exam_scores[[#This Row],[Exam score]]&lt;=40,"D",Exam_scores[[#This Row],[Exam score]]&lt;=45,"C",Exam_scores[[#This Row],[Exam score]]&lt;=49,"B",Exam_scores[[#This Row],[Exam score]]&gt;=50,"A")</f>
        <v>B</v>
      </c>
      <c r="H117">
        <v>46.4</v>
      </c>
    </row>
    <row r="118" spans="1:8" x14ac:dyDescent="0.35">
      <c r="A118" t="s">
        <v>116</v>
      </c>
      <c r="B118">
        <v>4.3</v>
      </c>
      <c r="C118">
        <v>6</v>
      </c>
      <c r="D118">
        <v>62.6</v>
      </c>
      <c r="E118" t="str" cm="1">
        <f t="array" ref="E118">_xlfn.IFS(Exam_scores[[#This Row],[Previous scores]]&lt;=40,"F",Exam_scores[[#This Row],[Previous scores]]&lt;=45,"E",Exam_scores[[#This Row],[Previous scores]]&lt;=49,"D",Exam_scores[[#This Row],[Previous scores]]&lt;=59,"C",Exam_scores[[#This Row],[Previous scores]]&lt;=80,"B",Exam_scores[[#This Row],[Previous scores]]&gt;=81,"A")</f>
        <v>D</v>
      </c>
      <c r="F118">
        <v>47</v>
      </c>
      <c r="G118" t="str" cm="1">
        <f t="array" ref="G118">_xlfn.IFS(Exam_scores[[#This Row],[Exam score]]&lt;=20, "F",Exam_scores[[#This Row],[Exam score]]&lt;=30,"E",Exam_scores[[#This Row],[Exam score]]&lt;=40,"D",Exam_scores[[#This Row],[Exam score]]&lt;=45,"C",Exam_scores[[#This Row],[Exam score]]&lt;=49,"B",Exam_scores[[#This Row],[Exam score]]&gt;=50,"A")</f>
        <v>E</v>
      </c>
      <c r="H118">
        <v>25.2</v>
      </c>
    </row>
    <row r="119" spans="1:8" x14ac:dyDescent="0.35">
      <c r="A119" t="s">
        <v>117</v>
      </c>
      <c r="B119">
        <v>8</v>
      </c>
      <c r="C119">
        <v>7.1</v>
      </c>
      <c r="D119">
        <v>54.1</v>
      </c>
      <c r="E119" t="str" cm="1">
        <f t="array" ref="E119">_xlfn.IFS(Exam_scores[[#This Row],[Previous scores]]&lt;=40,"F",Exam_scores[[#This Row],[Previous scores]]&lt;=45,"E",Exam_scores[[#This Row],[Previous scores]]&lt;=49,"D",Exam_scores[[#This Row],[Previous scores]]&lt;=59,"C",Exam_scores[[#This Row],[Previous scores]]&lt;=80,"B",Exam_scores[[#This Row],[Previous scores]]&gt;=81,"A")</f>
        <v>B</v>
      </c>
      <c r="F119">
        <v>75</v>
      </c>
      <c r="G119" t="str" cm="1">
        <f t="array" ref="G119">_xlfn.IFS(Exam_scores[[#This Row],[Exam score]]&lt;=20, "F",Exam_scores[[#This Row],[Exam score]]&lt;=30,"E",Exam_scores[[#This Row],[Exam score]]&lt;=40,"D",Exam_scores[[#This Row],[Exam score]]&lt;=45,"C",Exam_scores[[#This Row],[Exam score]]&lt;=49,"B",Exam_scores[[#This Row],[Exam score]]&gt;=50,"A")</f>
        <v>D</v>
      </c>
      <c r="H119">
        <v>31.3</v>
      </c>
    </row>
    <row r="120" spans="1:8" x14ac:dyDescent="0.35">
      <c r="A120" t="s">
        <v>118</v>
      </c>
      <c r="B120">
        <v>7.7</v>
      </c>
      <c r="C120">
        <v>4.8</v>
      </c>
      <c r="D120">
        <v>51</v>
      </c>
      <c r="E120" t="str" cm="1">
        <f t="array" ref="E120">_xlfn.IFS(Exam_scores[[#This Row],[Previous scores]]&lt;=40,"F",Exam_scores[[#This Row],[Previous scores]]&lt;=45,"E",Exam_scores[[#This Row],[Previous scores]]&lt;=49,"D",Exam_scores[[#This Row],[Previous scores]]&lt;=59,"C",Exam_scores[[#This Row],[Previous scores]]&lt;=80,"B",Exam_scores[[#This Row],[Previous scores]]&gt;=81,"A")</f>
        <v>A</v>
      </c>
      <c r="F120">
        <v>88</v>
      </c>
      <c r="G120" t="str" cm="1">
        <f t="array" ref="G120">_xlfn.IFS(Exam_scores[[#This Row],[Exam score]]&lt;=20, "F",Exam_scores[[#This Row],[Exam score]]&lt;=30,"E",Exam_scores[[#This Row],[Exam score]]&lt;=40,"D",Exam_scores[[#This Row],[Exam score]]&lt;=45,"C",Exam_scores[[#This Row],[Exam score]]&lt;=49,"B",Exam_scores[[#This Row],[Exam score]]&gt;=50,"A")</f>
        <v>D</v>
      </c>
      <c r="H120">
        <v>35.799999999999997</v>
      </c>
    </row>
    <row r="121" spans="1:8" x14ac:dyDescent="0.35">
      <c r="A121" t="s">
        <v>119</v>
      </c>
      <c r="B121">
        <v>2.7</v>
      </c>
      <c r="C121">
        <v>8.6</v>
      </c>
      <c r="D121">
        <v>77</v>
      </c>
      <c r="E121" t="str" cm="1">
        <f t="array" ref="E121">_xlfn.IFS(Exam_scores[[#This Row],[Previous scores]]&lt;=40,"F",Exam_scores[[#This Row],[Previous scores]]&lt;=45,"E",Exam_scores[[#This Row],[Previous scores]]&lt;=49,"D",Exam_scores[[#This Row],[Previous scores]]&lt;=59,"C",Exam_scores[[#This Row],[Previous scores]]&lt;=80,"B",Exam_scores[[#This Row],[Previous scores]]&gt;=81,"A")</f>
        <v>B</v>
      </c>
      <c r="F121">
        <v>66</v>
      </c>
      <c r="G121" t="str" cm="1">
        <f t="array" ref="G121">_xlfn.IFS(Exam_scores[[#This Row],[Exam score]]&lt;=20, "F",Exam_scores[[#This Row],[Exam score]]&lt;=30,"E",Exam_scores[[#This Row],[Exam score]]&lt;=40,"D",Exam_scores[[#This Row],[Exam score]]&lt;=45,"C",Exam_scores[[#This Row],[Exam score]]&lt;=49,"B",Exam_scores[[#This Row],[Exam score]]&gt;=50,"A")</f>
        <v>E</v>
      </c>
      <c r="H121">
        <v>29.8</v>
      </c>
    </row>
    <row r="122" spans="1:8" x14ac:dyDescent="0.35">
      <c r="A122" t="s">
        <v>120</v>
      </c>
      <c r="B122">
        <v>9.4</v>
      </c>
      <c r="C122">
        <v>8.3000000000000007</v>
      </c>
      <c r="D122">
        <v>100</v>
      </c>
      <c r="E122" t="str" cm="1">
        <f t="array" ref="E122">_xlfn.IFS(Exam_scores[[#This Row],[Previous scores]]&lt;=40,"F",Exam_scores[[#This Row],[Previous scores]]&lt;=45,"E",Exam_scores[[#This Row],[Previous scores]]&lt;=49,"D",Exam_scores[[#This Row],[Previous scores]]&lt;=59,"C",Exam_scores[[#This Row],[Previous scores]]&lt;=80,"B",Exam_scores[[#This Row],[Previous scores]]&gt;=81,"A")</f>
        <v>B</v>
      </c>
      <c r="F122">
        <v>78</v>
      </c>
      <c r="G122" t="str" cm="1">
        <f t="array" ref="G122">_xlfn.IFS(Exam_scores[[#This Row],[Exam score]]&lt;=20, "F",Exam_scores[[#This Row],[Exam score]]&lt;=30,"E",Exam_scores[[#This Row],[Exam score]]&lt;=40,"D",Exam_scores[[#This Row],[Exam score]]&lt;=45,"C",Exam_scores[[#This Row],[Exam score]]&lt;=49,"B",Exam_scores[[#This Row],[Exam score]]&gt;=50,"A")</f>
        <v>B</v>
      </c>
      <c r="H122">
        <v>47.9</v>
      </c>
    </row>
    <row r="123" spans="1:8" x14ac:dyDescent="0.35">
      <c r="A123" t="s">
        <v>121</v>
      </c>
      <c r="B123">
        <v>6.9</v>
      </c>
      <c r="C123">
        <v>8.9</v>
      </c>
      <c r="D123">
        <v>67.5</v>
      </c>
      <c r="E123" t="str" cm="1">
        <f t="array" ref="E123">_xlfn.IFS(Exam_scores[[#This Row],[Previous scores]]&lt;=40,"F",Exam_scores[[#This Row],[Previous scores]]&lt;=45,"E",Exam_scores[[#This Row],[Previous scores]]&lt;=49,"D",Exam_scores[[#This Row],[Previous scores]]&lt;=59,"C",Exam_scores[[#This Row],[Previous scores]]&lt;=80,"B",Exam_scores[[#This Row],[Previous scores]]&gt;=81,"A")</f>
        <v>B</v>
      </c>
      <c r="F123">
        <v>78</v>
      </c>
      <c r="G123" t="str" cm="1">
        <f t="array" ref="G123">_xlfn.IFS(Exam_scores[[#This Row],[Exam score]]&lt;=20, "F",Exam_scores[[#This Row],[Exam score]]&lt;=30,"E",Exam_scores[[#This Row],[Exam score]]&lt;=40,"D",Exam_scores[[#This Row],[Exam score]]&lt;=45,"C",Exam_scores[[#This Row],[Exam score]]&lt;=49,"B",Exam_scores[[#This Row],[Exam score]]&gt;=50,"A")</f>
        <v>C</v>
      </c>
      <c r="H123">
        <v>40.9</v>
      </c>
    </row>
    <row r="124" spans="1:8" x14ac:dyDescent="0.35">
      <c r="A124" t="s">
        <v>122</v>
      </c>
      <c r="B124">
        <v>9.6</v>
      </c>
      <c r="C124">
        <v>8.1</v>
      </c>
      <c r="D124">
        <v>82.5</v>
      </c>
      <c r="E124" t="str" cm="1">
        <f t="array" ref="E124">_xlfn.IFS(Exam_scores[[#This Row],[Previous scores]]&lt;=40,"F",Exam_scores[[#This Row],[Previous scores]]&lt;=45,"E",Exam_scores[[#This Row],[Previous scores]]&lt;=49,"D",Exam_scores[[#This Row],[Previous scores]]&lt;=59,"C",Exam_scores[[#This Row],[Previous scores]]&lt;=80,"B",Exam_scores[[#This Row],[Previous scores]]&gt;=81,"A")</f>
        <v>A</v>
      </c>
      <c r="F124">
        <v>90</v>
      </c>
      <c r="G124" t="str" cm="1">
        <f t="array" ref="G124">_xlfn.IFS(Exam_scores[[#This Row],[Exam score]]&lt;=20, "F",Exam_scores[[#This Row],[Exam score]]&lt;=30,"E",Exam_scores[[#This Row],[Exam score]]&lt;=40,"D",Exam_scores[[#This Row],[Exam score]]&lt;=45,"C",Exam_scores[[#This Row],[Exam score]]&lt;=49,"B",Exam_scores[[#This Row],[Exam score]]&gt;=50,"A")</f>
        <v>C</v>
      </c>
      <c r="H124">
        <v>44.1</v>
      </c>
    </row>
    <row r="125" spans="1:8" x14ac:dyDescent="0.35">
      <c r="A125" t="s">
        <v>123</v>
      </c>
      <c r="B125">
        <v>6.8</v>
      </c>
      <c r="C125">
        <v>8.4</v>
      </c>
      <c r="D125">
        <v>89.1</v>
      </c>
      <c r="E125" t="str" cm="1">
        <f t="array" ref="E125">_xlfn.IFS(Exam_scores[[#This Row],[Previous scores]]&lt;=40,"F",Exam_scores[[#This Row],[Previous scores]]&lt;=45,"E",Exam_scores[[#This Row],[Previous scores]]&lt;=49,"D",Exam_scores[[#This Row],[Previous scores]]&lt;=59,"C",Exam_scores[[#This Row],[Previous scores]]&lt;=80,"B",Exam_scores[[#This Row],[Previous scores]]&gt;=81,"A")</f>
        <v>B</v>
      </c>
      <c r="F125">
        <v>79</v>
      </c>
      <c r="G125" t="str" cm="1">
        <f t="array" ref="G125">_xlfn.IFS(Exam_scores[[#This Row],[Exam score]]&lt;=20, "F",Exam_scores[[#This Row],[Exam score]]&lt;=30,"E",Exam_scores[[#This Row],[Exam score]]&lt;=40,"D",Exam_scores[[#This Row],[Exam score]]&lt;=45,"C",Exam_scores[[#This Row],[Exam score]]&lt;=49,"B",Exam_scores[[#This Row],[Exam score]]&gt;=50,"A")</f>
        <v>D</v>
      </c>
      <c r="H125">
        <v>39.299999999999997</v>
      </c>
    </row>
    <row r="126" spans="1:8" x14ac:dyDescent="0.35">
      <c r="A126" t="s">
        <v>124</v>
      </c>
      <c r="B126">
        <v>1</v>
      </c>
      <c r="C126">
        <v>4.0999999999999996</v>
      </c>
      <c r="D126">
        <v>82.6</v>
      </c>
      <c r="E126" t="str" cm="1">
        <f t="array" ref="E126">_xlfn.IFS(Exam_scores[[#This Row],[Previous scores]]&lt;=40,"F",Exam_scores[[#This Row],[Previous scores]]&lt;=45,"E",Exam_scores[[#This Row],[Previous scores]]&lt;=49,"D",Exam_scores[[#This Row],[Previous scores]]&lt;=59,"C",Exam_scores[[#This Row],[Previous scores]]&lt;=80,"B",Exam_scores[[#This Row],[Previous scores]]&gt;=81,"A")</f>
        <v>C</v>
      </c>
      <c r="F126">
        <v>54</v>
      </c>
      <c r="G126" t="str" cm="1">
        <f t="array" ref="G126">_xlfn.IFS(Exam_scores[[#This Row],[Exam score]]&lt;=20, "F",Exam_scores[[#This Row],[Exam score]]&lt;=30,"E",Exam_scores[[#This Row],[Exam score]]&lt;=40,"D",Exam_scores[[#This Row],[Exam score]]&lt;=45,"C",Exam_scores[[#This Row],[Exam score]]&lt;=49,"B",Exam_scores[[#This Row],[Exam score]]&gt;=50,"A")</f>
        <v>E</v>
      </c>
      <c r="H126">
        <v>21.2</v>
      </c>
    </row>
    <row r="127" spans="1:8" x14ac:dyDescent="0.35">
      <c r="A127" t="s">
        <v>125</v>
      </c>
      <c r="B127">
        <v>4.5999999999999996</v>
      </c>
      <c r="C127">
        <v>7.7</v>
      </c>
      <c r="D127">
        <v>87.7</v>
      </c>
      <c r="E127" t="str" cm="1">
        <f t="array" ref="E127">_xlfn.IFS(Exam_scores[[#This Row],[Previous scores]]&lt;=40,"F",Exam_scores[[#This Row],[Previous scores]]&lt;=45,"E",Exam_scores[[#This Row],[Previous scores]]&lt;=49,"D",Exam_scores[[#This Row],[Previous scores]]&lt;=59,"C",Exam_scores[[#This Row],[Previous scores]]&lt;=80,"B",Exam_scores[[#This Row],[Previous scores]]&gt;=81,"A")</f>
        <v>A</v>
      </c>
      <c r="F127">
        <v>89</v>
      </c>
      <c r="G127" t="str" cm="1">
        <f t="array" ref="G127">_xlfn.IFS(Exam_scores[[#This Row],[Exam score]]&lt;=20, "F",Exam_scores[[#This Row],[Exam score]]&lt;=30,"E",Exam_scores[[#This Row],[Exam score]]&lt;=40,"D",Exam_scores[[#This Row],[Exam score]]&lt;=45,"C",Exam_scores[[#This Row],[Exam score]]&lt;=49,"B",Exam_scores[[#This Row],[Exam score]]&gt;=50,"A")</f>
        <v>D</v>
      </c>
      <c r="H127">
        <v>38.6</v>
      </c>
    </row>
    <row r="128" spans="1:8" x14ac:dyDescent="0.35">
      <c r="A128" t="s">
        <v>126</v>
      </c>
      <c r="B128">
        <v>1.2</v>
      </c>
      <c r="C128">
        <v>5.7</v>
      </c>
      <c r="D128">
        <v>97.5</v>
      </c>
      <c r="E128" t="str" cm="1">
        <f t="array" ref="E128">_xlfn.IFS(Exam_scores[[#This Row],[Previous scores]]&lt;=40,"F",Exam_scores[[#This Row],[Previous scores]]&lt;=45,"E",Exam_scores[[#This Row],[Previous scores]]&lt;=49,"D",Exam_scores[[#This Row],[Previous scores]]&lt;=59,"C",Exam_scores[[#This Row],[Previous scores]]&lt;=80,"B",Exam_scores[[#This Row],[Previous scores]]&gt;=81,"A")</f>
        <v>B</v>
      </c>
      <c r="F128">
        <v>73</v>
      </c>
      <c r="G128" t="str" cm="1">
        <f t="array" ref="G128">_xlfn.IFS(Exam_scores[[#This Row],[Exam score]]&lt;=20, "F",Exam_scores[[#This Row],[Exam score]]&lt;=30,"E",Exam_scores[[#This Row],[Exam score]]&lt;=40,"D",Exam_scores[[#This Row],[Exam score]]&lt;=45,"C",Exam_scores[[#This Row],[Exam score]]&lt;=49,"B",Exam_scores[[#This Row],[Exam score]]&gt;=50,"A")</f>
        <v>E</v>
      </c>
      <c r="H128">
        <v>26.8</v>
      </c>
    </row>
    <row r="129" spans="1:8" x14ac:dyDescent="0.35">
      <c r="A129" t="s">
        <v>127</v>
      </c>
      <c r="B129">
        <v>11.2</v>
      </c>
      <c r="C129">
        <v>8.6999999999999993</v>
      </c>
      <c r="D129">
        <v>60</v>
      </c>
      <c r="E129" t="str" cm="1">
        <f t="array" ref="E129">_xlfn.IFS(Exam_scores[[#This Row],[Previous scores]]&lt;=40,"F",Exam_scores[[#This Row],[Previous scores]]&lt;=45,"E",Exam_scores[[#This Row],[Previous scores]]&lt;=49,"D",Exam_scores[[#This Row],[Previous scores]]&lt;=59,"C",Exam_scores[[#This Row],[Previous scores]]&lt;=80,"B",Exam_scores[[#This Row],[Previous scores]]&gt;=81,"A")</f>
        <v>B</v>
      </c>
      <c r="F129">
        <v>64</v>
      </c>
      <c r="G129" t="str" cm="1">
        <f t="array" ref="G129">_xlfn.IFS(Exam_scores[[#This Row],[Exam score]]&lt;=20, "F",Exam_scores[[#This Row],[Exam score]]&lt;=30,"E",Exam_scores[[#This Row],[Exam score]]&lt;=40,"D",Exam_scores[[#This Row],[Exam score]]&lt;=45,"C",Exam_scores[[#This Row],[Exam score]]&lt;=49,"B",Exam_scores[[#This Row],[Exam score]]&gt;=50,"A")</f>
        <v>C</v>
      </c>
      <c r="H129">
        <v>42.7</v>
      </c>
    </row>
    <row r="130" spans="1:8" x14ac:dyDescent="0.35">
      <c r="A130" t="s">
        <v>128</v>
      </c>
      <c r="B130">
        <v>10.7</v>
      </c>
      <c r="C130">
        <v>8</v>
      </c>
      <c r="D130">
        <v>51</v>
      </c>
      <c r="E130" t="str" cm="1">
        <f t="array" ref="E130">_xlfn.IFS(Exam_scores[[#This Row],[Previous scores]]&lt;=40,"F",Exam_scores[[#This Row],[Previous scores]]&lt;=45,"E",Exam_scores[[#This Row],[Previous scores]]&lt;=49,"D",Exam_scores[[#This Row],[Previous scores]]&lt;=59,"C",Exam_scores[[#This Row],[Previous scores]]&lt;=80,"B",Exam_scores[[#This Row],[Previous scores]]&gt;=81,"A")</f>
        <v>B</v>
      </c>
      <c r="F130">
        <v>68</v>
      </c>
      <c r="G130" t="str" cm="1">
        <f t="array" ref="G130">_xlfn.IFS(Exam_scores[[#This Row],[Exam score]]&lt;=20, "F",Exam_scores[[#This Row],[Exam score]]&lt;=30,"E",Exam_scores[[#This Row],[Exam score]]&lt;=40,"D",Exam_scores[[#This Row],[Exam score]]&lt;=45,"C",Exam_scores[[#This Row],[Exam score]]&lt;=49,"B",Exam_scores[[#This Row],[Exam score]]&gt;=50,"A")</f>
        <v>D</v>
      </c>
      <c r="H130">
        <v>36.1</v>
      </c>
    </row>
    <row r="131" spans="1:8" x14ac:dyDescent="0.35">
      <c r="A131" t="s">
        <v>129</v>
      </c>
      <c r="B131">
        <v>10.1</v>
      </c>
      <c r="C131">
        <v>8.3000000000000007</v>
      </c>
      <c r="D131">
        <v>57.6</v>
      </c>
      <c r="E131" t="str" cm="1">
        <f t="array" ref="E131">_xlfn.IFS(Exam_scores[[#This Row],[Previous scores]]&lt;=40,"F",Exam_scores[[#This Row],[Previous scores]]&lt;=45,"E",Exam_scores[[#This Row],[Previous scores]]&lt;=49,"D",Exam_scores[[#This Row],[Previous scores]]&lt;=59,"C",Exam_scores[[#This Row],[Previous scores]]&lt;=80,"B",Exam_scores[[#This Row],[Previous scores]]&gt;=81,"A")</f>
        <v>B</v>
      </c>
      <c r="F131">
        <v>68</v>
      </c>
      <c r="G131" t="str" cm="1">
        <f t="array" ref="G131">_xlfn.IFS(Exam_scores[[#This Row],[Exam score]]&lt;=20, "F",Exam_scores[[#This Row],[Exam score]]&lt;=30,"E",Exam_scores[[#This Row],[Exam score]]&lt;=40,"D",Exam_scores[[#This Row],[Exam score]]&lt;=45,"C",Exam_scores[[#This Row],[Exam score]]&lt;=49,"B",Exam_scores[[#This Row],[Exam score]]&gt;=50,"A")</f>
        <v>D</v>
      </c>
      <c r="H131">
        <v>39.200000000000003</v>
      </c>
    </row>
    <row r="132" spans="1:8" x14ac:dyDescent="0.35">
      <c r="A132" t="s">
        <v>130</v>
      </c>
      <c r="B132">
        <v>4.4000000000000004</v>
      </c>
      <c r="C132">
        <v>8.1</v>
      </c>
      <c r="D132">
        <v>56.3</v>
      </c>
      <c r="E132" t="str" cm="1">
        <f t="array" ref="E132">_xlfn.IFS(Exam_scores[[#This Row],[Previous scores]]&lt;=40,"F",Exam_scores[[#This Row],[Previous scores]]&lt;=45,"E",Exam_scores[[#This Row],[Previous scores]]&lt;=49,"D",Exam_scores[[#This Row],[Previous scores]]&lt;=59,"C",Exam_scores[[#This Row],[Previous scores]]&lt;=80,"B",Exam_scores[[#This Row],[Previous scores]]&gt;=81,"A")</f>
        <v>C</v>
      </c>
      <c r="F132">
        <v>59</v>
      </c>
      <c r="G132" t="str" cm="1">
        <f t="array" ref="G132">_xlfn.IFS(Exam_scores[[#This Row],[Exam score]]&lt;=20, "F",Exam_scores[[#This Row],[Exam score]]&lt;=30,"E",Exam_scores[[#This Row],[Exam score]]&lt;=40,"D",Exam_scores[[#This Row],[Exam score]]&lt;=45,"C",Exam_scores[[#This Row],[Exam score]]&lt;=49,"B",Exam_scores[[#This Row],[Exam score]]&gt;=50,"A")</f>
        <v>D</v>
      </c>
      <c r="H132">
        <v>32.9</v>
      </c>
    </row>
    <row r="133" spans="1:8" x14ac:dyDescent="0.35">
      <c r="A133" t="s">
        <v>131</v>
      </c>
      <c r="B133">
        <v>1.6</v>
      </c>
      <c r="C133">
        <v>5.3</v>
      </c>
      <c r="D133">
        <v>83.5</v>
      </c>
      <c r="E133" t="str" cm="1">
        <f t="array" ref="E133">_xlfn.IFS(Exam_scores[[#This Row],[Previous scores]]&lt;=40,"F",Exam_scores[[#This Row],[Previous scores]]&lt;=45,"E",Exam_scores[[#This Row],[Previous scores]]&lt;=49,"D",Exam_scores[[#This Row],[Previous scores]]&lt;=59,"C",Exam_scores[[#This Row],[Previous scores]]&lt;=80,"B",Exam_scores[[#This Row],[Previous scores]]&gt;=81,"A")</f>
        <v>A</v>
      </c>
      <c r="F133">
        <v>95</v>
      </c>
      <c r="G133" t="str" cm="1">
        <f t="array" ref="G133">_xlfn.IFS(Exam_scores[[#This Row],[Exam score]]&lt;=20, "F",Exam_scores[[#This Row],[Exam score]]&lt;=30,"E",Exam_scores[[#This Row],[Exam score]]&lt;=40,"D",Exam_scores[[#This Row],[Exam score]]&lt;=45,"C",Exam_scores[[#This Row],[Exam score]]&lt;=49,"B",Exam_scores[[#This Row],[Exam score]]&gt;=50,"A")</f>
        <v>E</v>
      </c>
      <c r="H133">
        <v>28.8</v>
      </c>
    </row>
    <row r="134" spans="1:8" x14ac:dyDescent="0.35">
      <c r="A134" t="s">
        <v>132</v>
      </c>
      <c r="B134">
        <v>10.7</v>
      </c>
      <c r="C134">
        <v>7.9</v>
      </c>
      <c r="D134">
        <v>78.2</v>
      </c>
      <c r="E134" t="str" cm="1">
        <f t="array" ref="E134">_xlfn.IFS(Exam_scores[[#This Row],[Previous scores]]&lt;=40,"F",Exam_scores[[#This Row],[Previous scores]]&lt;=45,"E",Exam_scores[[#This Row],[Previous scores]]&lt;=49,"D",Exam_scores[[#This Row],[Previous scores]]&lt;=59,"C",Exam_scores[[#This Row],[Previous scores]]&lt;=80,"B",Exam_scores[[#This Row],[Previous scores]]&gt;=81,"A")</f>
        <v>B</v>
      </c>
      <c r="F134">
        <v>77</v>
      </c>
      <c r="G134" t="str" cm="1">
        <f t="array" ref="G134">_xlfn.IFS(Exam_scores[[#This Row],[Exam score]]&lt;=20, "F",Exam_scores[[#This Row],[Exam score]]&lt;=30,"E",Exam_scores[[#This Row],[Exam score]]&lt;=40,"D",Exam_scores[[#This Row],[Exam score]]&lt;=45,"C",Exam_scores[[#This Row],[Exam score]]&lt;=49,"B",Exam_scores[[#This Row],[Exam score]]&gt;=50,"A")</f>
        <v>B</v>
      </c>
      <c r="H134">
        <v>45.7</v>
      </c>
    </row>
    <row r="135" spans="1:8" x14ac:dyDescent="0.35">
      <c r="A135" t="s">
        <v>133</v>
      </c>
      <c r="B135">
        <v>11.4</v>
      </c>
      <c r="C135">
        <v>4.5</v>
      </c>
      <c r="D135">
        <v>60.9</v>
      </c>
      <c r="E135" t="str" cm="1">
        <f t="array" ref="E135">_xlfn.IFS(Exam_scores[[#This Row],[Previous scores]]&lt;=40,"F",Exam_scores[[#This Row],[Previous scores]]&lt;=45,"E",Exam_scores[[#This Row],[Previous scores]]&lt;=49,"D",Exam_scores[[#This Row],[Previous scores]]&lt;=59,"C",Exam_scores[[#This Row],[Previous scores]]&lt;=80,"B",Exam_scores[[#This Row],[Previous scores]]&gt;=81,"A")</f>
        <v>B</v>
      </c>
      <c r="F135">
        <v>67</v>
      </c>
      <c r="G135" t="str" cm="1">
        <f t="array" ref="G135">_xlfn.IFS(Exam_scores[[#This Row],[Exam score]]&lt;=20, "F",Exam_scores[[#This Row],[Exam score]]&lt;=30,"E",Exam_scores[[#This Row],[Exam score]]&lt;=40,"D",Exam_scores[[#This Row],[Exam score]]&lt;=45,"C",Exam_scores[[#This Row],[Exam score]]&lt;=49,"B",Exam_scores[[#This Row],[Exam score]]&gt;=50,"A")</f>
        <v>C</v>
      </c>
      <c r="H135">
        <v>40.799999999999997</v>
      </c>
    </row>
    <row r="136" spans="1:8" x14ac:dyDescent="0.35">
      <c r="A136" t="s">
        <v>134</v>
      </c>
      <c r="B136">
        <v>1.9</v>
      </c>
      <c r="C136">
        <v>8.4</v>
      </c>
      <c r="D136">
        <v>85</v>
      </c>
      <c r="E136" t="str" cm="1">
        <f t="array" ref="E136">_xlfn.IFS(Exam_scores[[#This Row],[Previous scores]]&lt;=40,"F",Exam_scores[[#This Row],[Previous scores]]&lt;=45,"E",Exam_scores[[#This Row],[Previous scores]]&lt;=49,"D",Exam_scores[[#This Row],[Previous scores]]&lt;=59,"C",Exam_scores[[#This Row],[Previous scores]]&lt;=80,"B",Exam_scores[[#This Row],[Previous scores]]&gt;=81,"A")</f>
        <v>C</v>
      </c>
      <c r="F136">
        <v>59</v>
      </c>
      <c r="G136" t="str" cm="1">
        <f t="array" ref="G136">_xlfn.IFS(Exam_scores[[#This Row],[Exam score]]&lt;=20, "F",Exam_scores[[#This Row],[Exam score]]&lt;=30,"E",Exam_scores[[#This Row],[Exam score]]&lt;=40,"D",Exam_scores[[#This Row],[Exam score]]&lt;=45,"C",Exam_scores[[#This Row],[Exam score]]&lt;=49,"B",Exam_scores[[#This Row],[Exam score]]&gt;=50,"A")</f>
        <v>D</v>
      </c>
      <c r="H136">
        <v>30.6</v>
      </c>
    </row>
    <row r="137" spans="1:8" x14ac:dyDescent="0.35">
      <c r="A137" t="s">
        <v>135</v>
      </c>
      <c r="B137">
        <v>6.3</v>
      </c>
      <c r="C137">
        <v>8.3000000000000007</v>
      </c>
      <c r="D137">
        <v>88.3</v>
      </c>
      <c r="E137" t="str" cm="1">
        <f t="array" ref="E137">_xlfn.IFS(Exam_scores[[#This Row],[Previous scores]]&lt;=40,"F",Exam_scores[[#This Row],[Previous scores]]&lt;=45,"E",Exam_scores[[#This Row],[Previous scores]]&lt;=49,"D",Exam_scores[[#This Row],[Previous scores]]&lt;=59,"C",Exam_scores[[#This Row],[Previous scores]]&lt;=80,"B",Exam_scores[[#This Row],[Previous scores]]&gt;=81,"A")</f>
        <v>B</v>
      </c>
      <c r="F137">
        <v>76</v>
      </c>
      <c r="G137" t="str" cm="1">
        <f t="array" ref="G137">_xlfn.IFS(Exam_scores[[#This Row],[Exam score]]&lt;=20, "F",Exam_scores[[#This Row],[Exam score]]&lt;=30,"E",Exam_scores[[#This Row],[Exam score]]&lt;=40,"D",Exam_scores[[#This Row],[Exam score]]&lt;=45,"C",Exam_scores[[#This Row],[Exam score]]&lt;=49,"B",Exam_scores[[#This Row],[Exam score]]&gt;=50,"A")</f>
        <v>C</v>
      </c>
      <c r="H137">
        <v>41.1</v>
      </c>
    </row>
    <row r="138" spans="1:8" x14ac:dyDescent="0.35">
      <c r="A138" t="s">
        <v>136</v>
      </c>
      <c r="B138">
        <v>1.8</v>
      </c>
      <c r="C138">
        <v>5.0999999999999996</v>
      </c>
      <c r="D138">
        <v>58.4</v>
      </c>
      <c r="E138" t="str" cm="1">
        <f t="array" ref="E138">_xlfn.IFS(Exam_scores[[#This Row],[Previous scores]]&lt;=40,"F",Exam_scores[[#This Row],[Previous scores]]&lt;=45,"E",Exam_scores[[#This Row],[Previous scores]]&lt;=49,"D",Exam_scores[[#This Row],[Previous scores]]&lt;=59,"C",Exam_scores[[#This Row],[Previous scores]]&lt;=80,"B",Exam_scores[[#This Row],[Previous scores]]&gt;=81,"A")</f>
        <v>B</v>
      </c>
      <c r="F138">
        <v>79</v>
      </c>
      <c r="G138" t="str" cm="1">
        <f t="array" ref="G138">_xlfn.IFS(Exam_scores[[#This Row],[Exam score]]&lt;=20, "F",Exam_scores[[#This Row],[Exam score]]&lt;=30,"E",Exam_scores[[#This Row],[Exam score]]&lt;=40,"D",Exam_scores[[#This Row],[Exam score]]&lt;=45,"C",Exam_scores[[#This Row],[Exam score]]&lt;=49,"B",Exam_scores[[#This Row],[Exam score]]&gt;=50,"A")</f>
        <v>E</v>
      </c>
      <c r="H138">
        <v>29</v>
      </c>
    </row>
    <row r="139" spans="1:8" x14ac:dyDescent="0.35">
      <c r="A139" t="s">
        <v>137</v>
      </c>
      <c r="B139">
        <v>9.4</v>
      </c>
      <c r="C139">
        <v>8.1</v>
      </c>
      <c r="D139">
        <v>80.400000000000006</v>
      </c>
      <c r="E139" t="str" cm="1">
        <f t="array" ref="E139">_xlfn.IFS(Exam_scores[[#This Row],[Previous scores]]&lt;=40,"F",Exam_scores[[#This Row],[Previous scores]]&lt;=45,"E",Exam_scores[[#This Row],[Previous scores]]&lt;=49,"D",Exam_scores[[#This Row],[Previous scores]]&lt;=59,"C",Exam_scores[[#This Row],[Previous scores]]&lt;=80,"B",Exam_scores[[#This Row],[Previous scores]]&gt;=81,"A")</f>
        <v>E</v>
      </c>
      <c r="F139">
        <v>43</v>
      </c>
      <c r="G139" t="str" cm="1">
        <f t="array" ref="G139">_xlfn.IFS(Exam_scores[[#This Row],[Exam score]]&lt;=20, "F",Exam_scores[[#This Row],[Exam score]]&lt;=30,"E",Exam_scores[[#This Row],[Exam score]]&lt;=40,"D",Exam_scores[[#This Row],[Exam score]]&lt;=45,"C",Exam_scores[[#This Row],[Exam score]]&lt;=49,"B",Exam_scores[[#This Row],[Exam score]]&gt;=50,"A")</f>
        <v>D</v>
      </c>
      <c r="H139">
        <v>35.1</v>
      </c>
    </row>
    <row r="140" spans="1:8" x14ac:dyDescent="0.35">
      <c r="A140" t="s">
        <v>138</v>
      </c>
      <c r="B140">
        <v>9.4</v>
      </c>
      <c r="C140">
        <v>6.3</v>
      </c>
      <c r="D140">
        <v>87.4</v>
      </c>
      <c r="E140" t="str" cm="1">
        <f t="array" ref="E140">_xlfn.IFS(Exam_scores[[#This Row],[Previous scores]]&lt;=40,"F",Exam_scores[[#This Row],[Previous scores]]&lt;=45,"E",Exam_scores[[#This Row],[Previous scores]]&lt;=49,"D",Exam_scores[[#This Row],[Previous scores]]&lt;=59,"C",Exam_scores[[#This Row],[Previous scores]]&lt;=80,"B",Exam_scores[[#This Row],[Previous scores]]&gt;=81,"A")</f>
        <v>B</v>
      </c>
      <c r="F140">
        <v>79</v>
      </c>
      <c r="G140" t="str" cm="1">
        <f t="array" ref="G140">_xlfn.IFS(Exam_scores[[#This Row],[Exam score]]&lt;=20, "F",Exam_scores[[#This Row],[Exam score]]&lt;=30,"E",Exam_scores[[#This Row],[Exam score]]&lt;=40,"D",Exam_scores[[#This Row],[Exam score]]&lt;=45,"C",Exam_scores[[#This Row],[Exam score]]&lt;=49,"B",Exam_scores[[#This Row],[Exam score]]&gt;=50,"A")</f>
        <v>D</v>
      </c>
      <c r="H140">
        <v>39.9</v>
      </c>
    </row>
    <row r="141" spans="1:8" x14ac:dyDescent="0.35">
      <c r="A141" t="s">
        <v>139</v>
      </c>
      <c r="B141">
        <v>2.4</v>
      </c>
      <c r="C141">
        <v>5.5</v>
      </c>
      <c r="D141">
        <v>55.7</v>
      </c>
      <c r="E141" t="str" cm="1">
        <f t="array" ref="E141">_xlfn.IFS(Exam_scores[[#This Row],[Previous scores]]&lt;=40,"F",Exam_scores[[#This Row],[Previous scores]]&lt;=45,"E",Exam_scores[[#This Row],[Previous scores]]&lt;=49,"D",Exam_scores[[#This Row],[Previous scores]]&lt;=59,"C",Exam_scores[[#This Row],[Previous scores]]&lt;=80,"B",Exam_scores[[#This Row],[Previous scores]]&gt;=81,"A")</f>
        <v>A</v>
      </c>
      <c r="F141">
        <v>87</v>
      </c>
      <c r="G141" t="str" cm="1">
        <f t="array" ref="G141">_xlfn.IFS(Exam_scores[[#This Row],[Exam score]]&lt;=20, "F",Exam_scores[[#This Row],[Exam score]]&lt;=30,"E",Exam_scores[[#This Row],[Exam score]]&lt;=40,"D",Exam_scores[[#This Row],[Exam score]]&lt;=45,"C",Exam_scores[[#This Row],[Exam score]]&lt;=49,"B",Exam_scores[[#This Row],[Exam score]]&gt;=50,"A")</f>
        <v>E</v>
      </c>
      <c r="H141">
        <v>29.9</v>
      </c>
    </row>
    <row r="142" spans="1:8" x14ac:dyDescent="0.35">
      <c r="A142" t="s">
        <v>140</v>
      </c>
      <c r="B142">
        <v>6.2</v>
      </c>
      <c r="C142">
        <v>8</v>
      </c>
      <c r="D142">
        <v>91</v>
      </c>
      <c r="E142" t="str" cm="1">
        <f t="array" ref="E142">_xlfn.IFS(Exam_scores[[#This Row],[Previous scores]]&lt;=40,"F",Exam_scores[[#This Row],[Previous scores]]&lt;=45,"E",Exam_scores[[#This Row],[Previous scores]]&lt;=49,"D",Exam_scores[[#This Row],[Previous scores]]&lt;=59,"C",Exam_scores[[#This Row],[Previous scores]]&lt;=80,"B",Exam_scores[[#This Row],[Previous scores]]&gt;=81,"A")</f>
        <v>D</v>
      </c>
      <c r="F142">
        <v>46</v>
      </c>
      <c r="G142" t="str" cm="1">
        <f t="array" ref="G142">_xlfn.IFS(Exam_scores[[#This Row],[Exam score]]&lt;=20, "F",Exam_scores[[#This Row],[Exam score]]&lt;=30,"E",Exam_scores[[#This Row],[Exam score]]&lt;=40,"D",Exam_scores[[#This Row],[Exam score]]&lt;=45,"C",Exam_scores[[#This Row],[Exam score]]&lt;=49,"B",Exam_scores[[#This Row],[Exam score]]&gt;=50,"A")</f>
        <v>D</v>
      </c>
      <c r="H142">
        <v>35</v>
      </c>
    </row>
    <row r="143" spans="1:8" x14ac:dyDescent="0.35">
      <c r="A143" t="s">
        <v>141</v>
      </c>
      <c r="B143">
        <v>7</v>
      </c>
      <c r="C143">
        <v>5.0999999999999996</v>
      </c>
      <c r="D143">
        <v>98.2</v>
      </c>
      <c r="E143" t="str" cm="1">
        <f t="array" ref="E143">_xlfn.IFS(Exam_scores[[#This Row],[Previous scores]]&lt;=40,"F",Exam_scores[[#This Row],[Previous scores]]&lt;=45,"E",Exam_scores[[#This Row],[Previous scores]]&lt;=49,"D",Exam_scores[[#This Row],[Previous scores]]&lt;=59,"C",Exam_scores[[#This Row],[Previous scores]]&lt;=80,"B",Exam_scores[[#This Row],[Previous scores]]&gt;=81,"A")</f>
        <v>A</v>
      </c>
      <c r="F143">
        <v>88</v>
      </c>
      <c r="G143" t="str" cm="1">
        <f t="array" ref="G143">_xlfn.IFS(Exam_scores[[#This Row],[Exam score]]&lt;=20, "F",Exam_scores[[#This Row],[Exam score]]&lt;=30,"E",Exam_scores[[#This Row],[Exam score]]&lt;=40,"D",Exam_scores[[#This Row],[Exam score]]&lt;=45,"C",Exam_scores[[#This Row],[Exam score]]&lt;=49,"B",Exam_scores[[#This Row],[Exam score]]&gt;=50,"A")</f>
        <v>C</v>
      </c>
      <c r="H143">
        <v>43.3</v>
      </c>
    </row>
    <row r="144" spans="1:8" x14ac:dyDescent="0.35">
      <c r="A144" t="s">
        <v>142</v>
      </c>
      <c r="B144">
        <v>3.9</v>
      </c>
      <c r="C144">
        <v>4.0999999999999996</v>
      </c>
      <c r="D144">
        <v>55.4</v>
      </c>
      <c r="E144" t="str" cm="1">
        <f t="array" ref="E144">_xlfn.IFS(Exam_scores[[#This Row],[Previous scores]]&lt;=40,"F",Exam_scores[[#This Row],[Previous scores]]&lt;=45,"E",Exam_scores[[#This Row],[Previous scores]]&lt;=49,"D",Exam_scores[[#This Row],[Previous scores]]&lt;=59,"C",Exam_scores[[#This Row],[Previous scores]]&lt;=80,"B",Exam_scores[[#This Row],[Previous scores]]&gt;=81,"A")</f>
        <v>C</v>
      </c>
      <c r="F144">
        <v>53</v>
      </c>
      <c r="G144" t="str" cm="1">
        <f t="array" ref="G144">_xlfn.IFS(Exam_scores[[#This Row],[Exam score]]&lt;=20, "F",Exam_scores[[#This Row],[Exam score]]&lt;=30,"E",Exam_scores[[#This Row],[Exam score]]&lt;=40,"D",Exam_scores[[#This Row],[Exam score]]&lt;=45,"C",Exam_scores[[#This Row],[Exam score]]&lt;=49,"B",Exam_scores[[#This Row],[Exam score]]&gt;=50,"A")</f>
        <v>F</v>
      </c>
      <c r="H144">
        <v>19</v>
      </c>
    </row>
    <row r="145" spans="1:8" x14ac:dyDescent="0.35">
      <c r="A145" t="s">
        <v>143</v>
      </c>
      <c r="B145">
        <v>10.6</v>
      </c>
      <c r="C145">
        <v>5</v>
      </c>
      <c r="D145">
        <v>51.3</v>
      </c>
      <c r="E145" t="str" cm="1">
        <f t="array" ref="E145">_xlfn.IFS(Exam_scores[[#This Row],[Previous scores]]&lt;=40,"F",Exam_scores[[#This Row],[Previous scores]]&lt;=45,"E",Exam_scores[[#This Row],[Previous scores]]&lt;=49,"D",Exam_scores[[#This Row],[Previous scores]]&lt;=59,"C",Exam_scores[[#This Row],[Previous scores]]&lt;=80,"B",Exam_scores[[#This Row],[Previous scores]]&gt;=81,"A")</f>
        <v>B</v>
      </c>
      <c r="F145">
        <v>80</v>
      </c>
      <c r="G145" t="str" cm="1">
        <f t="array" ref="G145">_xlfn.IFS(Exam_scores[[#This Row],[Exam score]]&lt;=20, "F",Exam_scores[[#This Row],[Exam score]]&lt;=30,"E",Exam_scores[[#This Row],[Exam score]]&lt;=40,"D",Exam_scores[[#This Row],[Exam score]]&lt;=45,"C",Exam_scores[[#This Row],[Exam score]]&lt;=49,"B",Exam_scores[[#This Row],[Exam score]]&gt;=50,"A")</f>
        <v>D</v>
      </c>
      <c r="H145">
        <v>35.1</v>
      </c>
    </row>
    <row r="146" spans="1:8" x14ac:dyDescent="0.35">
      <c r="A146" t="s">
        <v>144</v>
      </c>
      <c r="B146">
        <v>5.7</v>
      </c>
      <c r="C146">
        <v>5.6</v>
      </c>
      <c r="D146">
        <v>65.599999999999994</v>
      </c>
      <c r="E146" t="str" cm="1">
        <f t="array" ref="E146">_xlfn.IFS(Exam_scores[[#This Row],[Previous scores]]&lt;=40,"F",Exam_scores[[#This Row],[Previous scores]]&lt;=45,"E",Exam_scores[[#This Row],[Previous scores]]&lt;=49,"D",Exam_scores[[#This Row],[Previous scores]]&lt;=59,"C",Exam_scores[[#This Row],[Previous scores]]&lt;=80,"B",Exam_scores[[#This Row],[Previous scores]]&gt;=81,"A")</f>
        <v>C</v>
      </c>
      <c r="F146">
        <v>53</v>
      </c>
      <c r="G146" t="str" cm="1">
        <f t="array" ref="G146">_xlfn.IFS(Exam_scores[[#This Row],[Exam score]]&lt;=20, "F",Exam_scores[[#This Row],[Exam score]]&lt;=30,"E",Exam_scores[[#This Row],[Exam score]]&lt;=40,"D",Exam_scores[[#This Row],[Exam score]]&lt;=45,"C",Exam_scores[[#This Row],[Exam score]]&lt;=49,"B",Exam_scores[[#This Row],[Exam score]]&gt;=50,"A")</f>
        <v>E</v>
      </c>
      <c r="H146">
        <v>29.9</v>
      </c>
    </row>
    <row r="147" spans="1:8" x14ac:dyDescent="0.35">
      <c r="A147" t="s">
        <v>145</v>
      </c>
      <c r="B147">
        <v>3.3</v>
      </c>
      <c r="C147">
        <v>8.3000000000000007</v>
      </c>
      <c r="D147">
        <v>83.9</v>
      </c>
      <c r="E147" t="str" cm="1">
        <f t="array" ref="E147">_xlfn.IFS(Exam_scores[[#This Row],[Previous scores]]&lt;=40,"F",Exam_scores[[#This Row],[Previous scores]]&lt;=45,"E",Exam_scores[[#This Row],[Previous scores]]&lt;=49,"D",Exam_scores[[#This Row],[Previous scores]]&lt;=59,"C",Exam_scores[[#This Row],[Previous scores]]&lt;=80,"B",Exam_scores[[#This Row],[Previous scores]]&gt;=81,"A")</f>
        <v>C</v>
      </c>
      <c r="F147">
        <v>56</v>
      </c>
      <c r="G147" t="str" cm="1">
        <f t="array" ref="G147">_xlfn.IFS(Exam_scores[[#This Row],[Exam score]]&lt;=20, "F",Exam_scores[[#This Row],[Exam score]]&lt;=30,"E",Exam_scores[[#This Row],[Exam score]]&lt;=40,"D",Exam_scores[[#This Row],[Exam score]]&lt;=45,"C",Exam_scores[[#This Row],[Exam score]]&lt;=49,"B",Exam_scores[[#This Row],[Exam score]]&gt;=50,"A")</f>
        <v>D</v>
      </c>
      <c r="H147">
        <v>33</v>
      </c>
    </row>
    <row r="148" spans="1:8" x14ac:dyDescent="0.35">
      <c r="A148" t="s">
        <v>146</v>
      </c>
      <c r="B148">
        <v>6.9</v>
      </c>
      <c r="C148">
        <v>8.8000000000000007</v>
      </c>
      <c r="D148">
        <v>97.9</v>
      </c>
      <c r="E148" t="str" cm="1">
        <f t="array" ref="E148">_xlfn.IFS(Exam_scores[[#This Row],[Previous scores]]&lt;=40,"F",Exam_scores[[#This Row],[Previous scores]]&lt;=45,"E",Exam_scores[[#This Row],[Previous scores]]&lt;=49,"D",Exam_scores[[#This Row],[Previous scores]]&lt;=59,"C",Exam_scores[[#This Row],[Previous scores]]&lt;=80,"B",Exam_scores[[#This Row],[Previous scores]]&gt;=81,"A")</f>
        <v>A</v>
      </c>
      <c r="F148">
        <v>82</v>
      </c>
      <c r="G148" t="str" cm="1">
        <f t="array" ref="G148">_xlfn.IFS(Exam_scores[[#This Row],[Exam score]]&lt;=20, "F",Exam_scores[[#This Row],[Exam score]]&lt;=30,"E",Exam_scores[[#This Row],[Exam score]]&lt;=40,"D",Exam_scores[[#This Row],[Exam score]]&lt;=45,"C",Exam_scores[[#This Row],[Exam score]]&lt;=49,"B",Exam_scores[[#This Row],[Exam score]]&gt;=50,"A")</f>
        <v>B</v>
      </c>
      <c r="H148">
        <v>45.8</v>
      </c>
    </row>
    <row r="149" spans="1:8" x14ac:dyDescent="0.35">
      <c r="A149" t="s">
        <v>147</v>
      </c>
      <c r="B149">
        <v>9</v>
      </c>
      <c r="C149">
        <v>5.4</v>
      </c>
      <c r="D149">
        <v>69.8</v>
      </c>
      <c r="E149" t="str" cm="1">
        <f t="array" ref="E149">_xlfn.IFS(Exam_scores[[#This Row],[Previous scores]]&lt;=40,"F",Exam_scores[[#This Row],[Previous scores]]&lt;=45,"E",Exam_scores[[#This Row],[Previous scores]]&lt;=49,"D",Exam_scores[[#This Row],[Previous scores]]&lt;=59,"C",Exam_scores[[#This Row],[Previous scores]]&lt;=80,"B",Exam_scores[[#This Row],[Previous scores]]&gt;=81,"A")</f>
        <v>E</v>
      </c>
      <c r="F149">
        <v>45</v>
      </c>
      <c r="G149" t="str" cm="1">
        <f t="array" ref="G149">_xlfn.IFS(Exam_scores[[#This Row],[Exam score]]&lt;=20, "F",Exam_scores[[#This Row],[Exam score]]&lt;=30,"E",Exam_scores[[#This Row],[Exam score]]&lt;=40,"D",Exam_scores[[#This Row],[Exam score]]&lt;=45,"C",Exam_scores[[#This Row],[Exam score]]&lt;=49,"B",Exam_scores[[#This Row],[Exam score]]&gt;=50,"A")</f>
        <v>D</v>
      </c>
      <c r="H149">
        <v>35.5</v>
      </c>
    </row>
    <row r="150" spans="1:8" x14ac:dyDescent="0.35">
      <c r="A150" t="s">
        <v>148</v>
      </c>
      <c r="B150">
        <v>3.2</v>
      </c>
      <c r="C150">
        <v>7.2</v>
      </c>
      <c r="D150">
        <v>85.8</v>
      </c>
      <c r="E150" t="str" cm="1">
        <f t="array" ref="E150">_xlfn.IFS(Exam_scores[[#This Row],[Previous scores]]&lt;=40,"F",Exam_scores[[#This Row],[Previous scores]]&lt;=45,"E",Exam_scores[[#This Row],[Previous scores]]&lt;=49,"D",Exam_scores[[#This Row],[Previous scores]]&lt;=59,"C",Exam_scores[[#This Row],[Previous scores]]&lt;=80,"B",Exam_scores[[#This Row],[Previous scores]]&gt;=81,"A")</f>
        <v>C</v>
      </c>
      <c r="F150">
        <v>50</v>
      </c>
      <c r="G150" t="str" cm="1">
        <f t="array" ref="G150">_xlfn.IFS(Exam_scores[[#This Row],[Exam score]]&lt;=20, "F",Exam_scores[[#This Row],[Exam score]]&lt;=30,"E",Exam_scores[[#This Row],[Exam score]]&lt;=40,"D",Exam_scores[[#This Row],[Exam score]]&lt;=45,"C",Exam_scores[[#This Row],[Exam score]]&lt;=49,"B",Exam_scores[[#This Row],[Exam score]]&gt;=50,"A")</f>
        <v>E</v>
      </c>
      <c r="H150">
        <v>26.4</v>
      </c>
    </row>
    <row r="151" spans="1:8" x14ac:dyDescent="0.35">
      <c r="A151" t="s">
        <v>149</v>
      </c>
      <c r="B151">
        <v>4.4000000000000004</v>
      </c>
      <c r="C151">
        <v>6</v>
      </c>
      <c r="D151">
        <v>53.8</v>
      </c>
      <c r="E151" t="str" cm="1">
        <f t="array" ref="E151">_xlfn.IFS(Exam_scores[[#This Row],[Previous scores]]&lt;=40,"F",Exam_scores[[#This Row],[Previous scores]]&lt;=45,"E",Exam_scores[[#This Row],[Previous scores]]&lt;=49,"D",Exam_scores[[#This Row],[Previous scores]]&lt;=59,"C",Exam_scores[[#This Row],[Previous scores]]&lt;=80,"B",Exam_scores[[#This Row],[Previous scores]]&gt;=81,"A")</f>
        <v>C</v>
      </c>
      <c r="F151">
        <v>55</v>
      </c>
      <c r="G151" t="str" cm="1">
        <f t="array" ref="G151">_xlfn.IFS(Exam_scores[[#This Row],[Exam score]]&lt;=20, "F",Exam_scores[[#This Row],[Exam score]]&lt;=30,"E",Exam_scores[[#This Row],[Exam score]]&lt;=40,"D",Exam_scores[[#This Row],[Exam score]]&lt;=45,"C",Exam_scores[[#This Row],[Exam score]]&lt;=49,"B",Exam_scores[[#This Row],[Exam score]]&gt;=50,"A")</f>
        <v>E</v>
      </c>
      <c r="H151">
        <v>21.9</v>
      </c>
    </row>
    <row r="152" spans="1:8" x14ac:dyDescent="0.35">
      <c r="A152" t="s">
        <v>150</v>
      </c>
      <c r="B152">
        <v>11.9</v>
      </c>
      <c r="C152">
        <v>8.9</v>
      </c>
      <c r="D152">
        <v>84.5</v>
      </c>
      <c r="E152" t="str" cm="1">
        <f t="array" ref="E152">_xlfn.IFS(Exam_scores[[#This Row],[Previous scores]]&lt;=40,"F",Exam_scores[[#This Row],[Previous scores]]&lt;=45,"E",Exam_scores[[#This Row],[Previous scores]]&lt;=49,"D",Exam_scores[[#This Row],[Previous scores]]&lt;=59,"C",Exam_scores[[#This Row],[Previous scores]]&lt;=80,"B",Exam_scores[[#This Row],[Previous scores]]&gt;=81,"A")</f>
        <v>C</v>
      </c>
      <c r="F152">
        <v>51</v>
      </c>
      <c r="G152" t="str" cm="1">
        <f t="array" ref="G152">_xlfn.IFS(Exam_scores[[#This Row],[Exam score]]&lt;=20, "F",Exam_scores[[#This Row],[Exam score]]&lt;=30,"E",Exam_scores[[#This Row],[Exam score]]&lt;=40,"D",Exam_scores[[#This Row],[Exam score]]&lt;=45,"C",Exam_scores[[#This Row],[Exam score]]&lt;=49,"B",Exam_scores[[#This Row],[Exam score]]&gt;=50,"A")</f>
        <v>C</v>
      </c>
      <c r="H152">
        <v>44.1</v>
      </c>
    </row>
    <row r="153" spans="1:8" x14ac:dyDescent="0.35">
      <c r="A153" t="s">
        <v>151</v>
      </c>
      <c r="B153">
        <v>8.1</v>
      </c>
      <c r="C153">
        <v>6.7</v>
      </c>
      <c r="D153">
        <v>81.400000000000006</v>
      </c>
      <c r="E153" t="str" cm="1">
        <f t="array" ref="E153">_xlfn.IFS(Exam_scores[[#This Row],[Previous scores]]&lt;=40,"F",Exam_scores[[#This Row],[Previous scores]]&lt;=45,"E",Exam_scores[[#This Row],[Previous scores]]&lt;=49,"D",Exam_scores[[#This Row],[Previous scores]]&lt;=59,"C",Exam_scores[[#This Row],[Previous scores]]&lt;=80,"B",Exam_scores[[#This Row],[Previous scores]]&gt;=81,"A")</f>
        <v>B</v>
      </c>
      <c r="F153">
        <v>75</v>
      </c>
      <c r="G153" t="str" cm="1">
        <f t="array" ref="G153">_xlfn.IFS(Exam_scores[[#This Row],[Exam score]]&lt;=20, "F",Exam_scores[[#This Row],[Exam score]]&lt;=30,"E",Exam_scores[[#This Row],[Exam score]]&lt;=40,"D",Exam_scores[[#This Row],[Exam score]]&lt;=45,"C",Exam_scores[[#This Row],[Exam score]]&lt;=49,"B",Exam_scores[[#This Row],[Exam score]]&gt;=50,"A")</f>
        <v>C</v>
      </c>
      <c r="H153">
        <v>42.3</v>
      </c>
    </row>
    <row r="154" spans="1:8" x14ac:dyDescent="0.35">
      <c r="A154" t="s">
        <v>152</v>
      </c>
      <c r="B154">
        <v>5.8</v>
      </c>
      <c r="C154">
        <v>8.6999999999999993</v>
      </c>
      <c r="D154">
        <v>55.1</v>
      </c>
      <c r="E154" t="str" cm="1">
        <f t="array" ref="E154">_xlfn.IFS(Exam_scores[[#This Row],[Previous scores]]&lt;=40,"F",Exam_scores[[#This Row],[Previous scores]]&lt;=45,"E",Exam_scores[[#This Row],[Previous scores]]&lt;=49,"D",Exam_scores[[#This Row],[Previous scores]]&lt;=59,"C",Exam_scores[[#This Row],[Previous scores]]&lt;=80,"B",Exam_scores[[#This Row],[Previous scores]]&gt;=81,"A")</f>
        <v>E</v>
      </c>
      <c r="F154">
        <v>44</v>
      </c>
      <c r="G154" t="str" cm="1">
        <f t="array" ref="G154">_xlfn.IFS(Exam_scores[[#This Row],[Exam score]]&lt;=20, "F",Exam_scores[[#This Row],[Exam score]]&lt;=30,"E",Exam_scores[[#This Row],[Exam score]]&lt;=40,"D",Exam_scores[[#This Row],[Exam score]]&lt;=45,"C",Exam_scores[[#This Row],[Exam score]]&lt;=49,"B",Exam_scores[[#This Row],[Exam score]]&gt;=50,"A")</f>
        <v>E</v>
      </c>
      <c r="H154">
        <v>27.7</v>
      </c>
    </row>
    <row r="155" spans="1:8" x14ac:dyDescent="0.35">
      <c r="A155" t="s">
        <v>153</v>
      </c>
      <c r="B155">
        <v>6.7</v>
      </c>
      <c r="C155">
        <v>4.5999999999999996</v>
      </c>
      <c r="D155">
        <v>88.6</v>
      </c>
      <c r="E155" t="str" cm="1">
        <f t="array" ref="E155">_xlfn.IFS(Exam_scores[[#This Row],[Previous scores]]&lt;=40,"F",Exam_scores[[#This Row],[Previous scores]]&lt;=45,"E",Exam_scores[[#This Row],[Previous scores]]&lt;=49,"D",Exam_scores[[#This Row],[Previous scores]]&lt;=59,"C",Exam_scores[[#This Row],[Previous scores]]&lt;=80,"B",Exam_scores[[#This Row],[Previous scores]]&gt;=81,"A")</f>
        <v>C</v>
      </c>
      <c r="F155">
        <v>50</v>
      </c>
      <c r="G155" t="str" cm="1">
        <f t="array" ref="G155">_xlfn.IFS(Exam_scores[[#This Row],[Exam score]]&lt;=20, "F",Exam_scores[[#This Row],[Exam score]]&lt;=30,"E",Exam_scores[[#This Row],[Exam score]]&lt;=40,"D",Exam_scores[[#This Row],[Exam score]]&lt;=45,"C",Exam_scores[[#This Row],[Exam score]]&lt;=49,"B",Exam_scores[[#This Row],[Exam score]]&gt;=50,"A")</f>
        <v>D</v>
      </c>
      <c r="H155">
        <v>33.4</v>
      </c>
    </row>
    <row r="156" spans="1:8" x14ac:dyDescent="0.35">
      <c r="A156" t="s">
        <v>154</v>
      </c>
      <c r="B156">
        <v>2.2999999999999998</v>
      </c>
      <c r="C156">
        <v>8.9</v>
      </c>
      <c r="D156">
        <v>92.5</v>
      </c>
      <c r="E156" t="str" cm="1">
        <f t="array" ref="E156">_xlfn.IFS(Exam_scores[[#This Row],[Previous scores]]&lt;=40,"F",Exam_scores[[#This Row],[Previous scores]]&lt;=45,"E",Exam_scores[[#This Row],[Previous scores]]&lt;=49,"D",Exam_scores[[#This Row],[Previous scores]]&lt;=59,"C",Exam_scores[[#This Row],[Previous scores]]&lt;=80,"B",Exam_scores[[#This Row],[Previous scores]]&gt;=81,"A")</f>
        <v>F</v>
      </c>
      <c r="F156">
        <v>40</v>
      </c>
      <c r="G156" t="str" cm="1">
        <f t="array" ref="G156">_xlfn.IFS(Exam_scores[[#This Row],[Exam score]]&lt;=20, "F",Exam_scores[[#This Row],[Exam score]]&lt;=30,"E",Exam_scores[[#This Row],[Exam score]]&lt;=40,"D",Exam_scores[[#This Row],[Exam score]]&lt;=45,"C",Exam_scores[[#This Row],[Exam score]]&lt;=49,"B",Exam_scores[[#This Row],[Exam score]]&gt;=50,"A")</f>
        <v>E</v>
      </c>
      <c r="H156">
        <v>29.7</v>
      </c>
    </row>
    <row r="157" spans="1:8" x14ac:dyDescent="0.35">
      <c r="A157" t="s">
        <v>155</v>
      </c>
      <c r="B157">
        <v>3.5</v>
      </c>
      <c r="C157">
        <v>4.9000000000000004</v>
      </c>
      <c r="D157">
        <v>80</v>
      </c>
      <c r="E157" t="str" cm="1">
        <f t="array" ref="E157">_xlfn.IFS(Exam_scores[[#This Row],[Previous scores]]&lt;=40,"F",Exam_scores[[#This Row],[Previous scores]]&lt;=45,"E",Exam_scores[[#This Row],[Previous scores]]&lt;=49,"D",Exam_scores[[#This Row],[Previous scores]]&lt;=59,"C",Exam_scores[[#This Row],[Previous scores]]&lt;=80,"B",Exam_scores[[#This Row],[Previous scores]]&gt;=81,"A")</f>
        <v>B</v>
      </c>
      <c r="F157">
        <v>66</v>
      </c>
      <c r="G157" t="str" cm="1">
        <f t="array" ref="G157">_xlfn.IFS(Exam_scores[[#This Row],[Exam score]]&lt;=20, "F",Exam_scores[[#This Row],[Exam score]]&lt;=30,"E",Exam_scores[[#This Row],[Exam score]]&lt;=40,"D",Exam_scores[[#This Row],[Exam score]]&lt;=45,"C",Exam_scores[[#This Row],[Exam score]]&lt;=49,"B",Exam_scores[[#This Row],[Exam score]]&gt;=50,"A")</f>
        <v>E</v>
      </c>
      <c r="H157">
        <v>23.6</v>
      </c>
    </row>
    <row r="158" spans="1:8" x14ac:dyDescent="0.35">
      <c r="A158" t="s">
        <v>156</v>
      </c>
      <c r="B158">
        <v>4.7</v>
      </c>
      <c r="C158">
        <v>8.8000000000000007</v>
      </c>
      <c r="D158">
        <v>56.1</v>
      </c>
      <c r="E158" t="str" cm="1">
        <f t="array" ref="E158">_xlfn.IFS(Exam_scores[[#This Row],[Previous scores]]&lt;=40,"F",Exam_scores[[#This Row],[Previous scores]]&lt;=45,"E",Exam_scores[[#This Row],[Previous scores]]&lt;=49,"D",Exam_scores[[#This Row],[Previous scores]]&lt;=59,"C",Exam_scores[[#This Row],[Previous scores]]&lt;=80,"B",Exam_scores[[#This Row],[Previous scores]]&gt;=81,"A")</f>
        <v>B</v>
      </c>
      <c r="F158">
        <v>68</v>
      </c>
      <c r="G158" t="str" cm="1">
        <f t="array" ref="G158">_xlfn.IFS(Exam_scores[[#This Row],[Exam score]]&lt;=20, "F",Exam_scores[[#This Row],[Exam score]]&lt;=30,"E",Exam_scores[[#This Row],[Exam score]]&lt;=40,"D",Exam_scores[[#This Row],[Exam score]]&lt;=45,"C",Exam_scores[[#This Row],[Exam score]]&lt;=49,"B",Exam_scores[[#This Row],[Exam score]]&gt;=50,"A")</f>
        <v>D</v>
      </c>
      <c r="H158">
        <v>33.6</v>
      </c>
    </row>
    <row r="159" spans="1:8" x14ac:dyDescent="0.35">
      <c r="A159" t="s">
        <v>157</v>
      </c>
      <c r="B159">
        <v>7.5</v>
      </c>
      <c r="C159">
        <v>5.3</v>
      </c>
      <c r="D159">
        <v>99.2</v>
      </c>
      <c r="E159" t="str" cm="1">
        <f t="array" ref="E159">_xlfn.IFS(Exam_scores[[#This Row],[Previous scores]]&lt;=40,"F",Exam_scores[[#This Row],[Previous scores]]&lt;=45,"E",Exam_scores[[#This Row],[Previous scores]]&lt;=49,"D",Exam_scores[[#This Row],[Previous scores]]&lt;=59,"C",Exam_scores[[#This Row],[Previous scores]]&lt;=80,"B",Exam_scores[[#This Row],[Previous scores]]&gt;=81,"A")</f>
        <v>A</v>
      </c>
      <c r="F159">
        <v>84</v>
      </c>
      <c r="G159" t="str" cm="1">
        <f t="array" ref="G159">_xlfn.IFS(Exam_scores[[#This Row],[Exam score]]&lt;=20, "F",Exam_scores[[#This Row],[Exam score]]&lt;=30,"E",Exam_scores[[#This Row],[Exam score]]&lt;=40,"D",Exam_scores[[#This Row],[Exam score]]&lt;=45,"C",Exam_scores[[#This Row],[Exam score]]&lt;=49,"B",Exam_scores[[#This Row],[Exam score]]&gt;=50,"A")</f>
        <v>D</v>
      </c>
      <c r="H159">
        <v>37.9</v>
      </c>
    </row>
    <row r="160" spans="1:8" x14ac:dyDescent="0.35">
      <c r="A160" t="s">
        <v>158</v>
      </c>
      <c r="B160">
        <v>3.5</v>
      </c>
      <c r="C160">
        <v>4.5</v>
      </c>
      <c r="D160">
        <v>89.1</v>
      </c>
      <c r="E160" t="str" cm="1">
        <f t="array" ref="E160">_xlfn.IFS(Exam_scores[[#This Row],[Previous scores]]&lt;=40,"F",Exam_scores[[#This Row],[Previous scores]]&lt;=45,"E",Exam_scores[[#This Row],[Previous scores]]&lt;=49,"D",Exam_scores[[#This Row],[Previous scores]]&lt;=59,"C",Exam_scores[[#This Row],[Previous scores]]&lt;=80,"B",Exam_scores[[#This Row],[Previous scores]]&gt;=81,"A")</f>
        <v>B</v>
      </c>
      <c r="F160">
        <v>78</v>
      </c>
      <c r="G160" t="str" cm="1">
        <f t="array" ref="G160">_xlfn.IFS(Exam_scores[[#This Row],[Exam score]]&lt;=20, "F",Exam_scores[[#This Row],[Exam score]]&lt;=30,"E",Exam_scores[[#This Row],[Exam score]]&lt;=40,"D",Exam_scores[[#This Row],[Exam score]]&lt;=45,"C",Exam_scores[[#This Row],[Exam score]]&lt;=49,"B",Exam_scores[[#This Row],[Exam score]]&gt;=50,"A")</f>
        <v>E</v>
      </c>
      <c r="H160">
        <v>29.5</v>
      </c>
    </row>
    <row r="161" spans="1:8" x14ac:dyDescent="0.35">
      <c r="A161" t="s">
        <v>159</v>
      </c>
      <c r="B161">
        <v>3.4</v>
      </c>
      <c r="C161">
        <v>6.2</v>
      </c>
      <c r="D161">
        <v>67.400000000000006</v>
      </c>
      <c r="E161" t="str" cm="1">
        <f t="array" ref="E161">_xlfn.IFS(Exam_scores[[#This Row],[Previous scores]]&lt;=40,"F",Exam_scores[[#This Row],[Previous scores]]&lt;=45,"E",Exam_scores[[#This Row],[Previous scores]]&lt;=49,"D",Exam_scores[[#This Row],[Previous scores]]&lt;=59,"C",Exam_scores[[#This Row],[Previous scores]]&lt;=80,"B",Exam_scores[[#This Row],[Previous scores]]&gt;=81,"A")</f>
        <v>B</v>
      </c>
      <c r="F161">
        <v>70</v>
      </c>
      <c r="G161" t="str" cm="1">
        <f t="array" ref="G161">_xlfn.IFS(Exam_scores[[#This Row],[Exam score]]&lt;=20, "F",Exam_scores[[#This Row],[Exam score]]&lt;=30,"E",Exam_scores[[#This Row],[Exam score]]&lt;=40,"D",Exam_scores[[#This Row],[Exam score]]&lt;=45,"C",Exam_scores[[#This Row],[Exam score]]&lt;=49,"B",Exam_scores[[#This Row],[Exam score]]&gt;=50,"A")</f>
        <v>E</v>
      </c>
      <c r="H161">
        <v>24.7</v>
      </c>
    </row>
    <row r="162" spans="1:8" x14ac:dyDescent="0.35">
      <c r="A162" t="s">
        <v>160</v>
      </c>
      <c r="B162">
        <v>1.8</v>
      </c>
      <c r="C162">
        <v>7.6</v>
      </c>
      <c r="D162">
        <v>71.400000000000006</v>
      </c>
      <c r="E162" t="str" cm="1">
        <f t="array" ref="E162">_xlfn.IFS(Exam_scores[[#This Row],[Previous scores]]&lt;=40,"F",Exam_scores[[#This Row],[Previous scores]]&lt;=45,"E",Exam_scores[[#This Row],[Previous scores]]&lt;=49,"D",Exam_scores[[#This Row],[Previous scores]]&lt;=59,"C",Exam_scores[[#This Row],[Previous scores]]&lt;=80,"B",Exam_scores[[#This Row],[Previous scores]]&gt;=81,"A")</f>
        <v>C</v>
      </c>
      <c r="F162">
        <v>58</v>
      </c>
      <c r="G162" t="str" cm="1">
        <f t="array" ref="G162">_xlfn.IFS(Exam_scores[[#This Row],[Exam score]]&lt;=20, "F",Exam_scores[[#This Row],[Exam score]]&lt;=30,"E",Exam_scores[[#This Row],[Exam score]]&lt;=40,"D",Exam_scores[[#This Row],[Exam score]]&lt;=45,"C",Exam_scores[[#This Row],[Exam score]]&lt;=49,"B",Exam_scores[[#This Row],[Exam score]]&gt;=50,"A")</f>
        <v>E</v>
      </c>
      <c r="H162">
        <v>25.2</v>
      </c>
    </row>
    <row r="163" spans="1:8" x14ac:dyDescent="0.35">
      <c r="A163" t="s">
        <v>161</v>
      </c>
      <c r="B163">
        <v>7.9</v>
      </c>
      <c r="C163">
        <v>5.6</v>
      </c>
      <c r="D163">
        <v>68.5</v>
      </c>
      <c r="E163" t="str" cm="1">
        <f t="array" ref="E163">_xlfn.IFS(Exam_scores[[#This Row],[Previous scores]]&lt;=40,"F",Exam_scores[[#This Row],[Previous scores]]&lt;=45,"E",Exam_scores[[#This Row],[Previous scores]]&lt;=49,"D",Exam_scores[[#This Row],[Previous scores]]&lt;=59,"C",Exam_scores[[#This Row],[Previous scores]]&lt;=80,"B",Exam_scores[[#This Row],[Previous scores]]&gt;=81,"A")</f>
        <v>E</v>
      </c>
      <c r="F163">
        <v>42</v>
      </c>
      <c r="G163" t="str" cm="1">
        <f t="array" ref="G163">_xlfn.IFS(Exam_scores[[#This Row],[Exam score]]&lt;=20, "F",Exam_scores[[#This Row],[Exam score]]&lt;=30,"E",Exam_scores[[#This Row],[Exam score]]&lt;=40,"D",Exam_scores[[#This Row],[Exam score]]&lt;=45,"C",Exam_scores[[#This Row],[Exam score]]&lt;=49,"B",Exam_scores[[#This Row],[Exam score]]&gt;=50,"A")</f>
        <v>D</v>
      </c>
      <c r="H163">
        <v>31.4</v>
      </c>
    </row>
    <row r="164" spans="1:8" x14ac:dyDescent="0.35">
      <c r="A164" t="s">
        <v>162</v>
      </c>
      <c r="B164">
        <v>3.5</v>
      </c>
      <c r="C164">
        <v>7</v>
      </c>
      <c r="D164">
        <v>75.3</v>
      </c>
      <c r="E164" t="str" cm="1">
        <f t="array" ref="E164">_xlfn.IFS(Exam_scores[[#This Row],[Previous scores]]&lt;=40,"F",Exam_scores[[#This Row],[Previous scores]]&lt;=45,"E",Exam_scores[[#This Row],[Previous scores]]&lt;=49,"D",Exam_scores[[#This Row],[Previous scores]]&lt;=59,"C",Exam_scores[[#This Row],[Previous scores]]&lt;=80,"B",Exam_scores[[#This Row],[Previous scores]]&gt;=81,"A")</f>
        <v>C</v>
      </c>
      <c r="F164">
        <v>54</v>
      </c>
      <c r="G164" t="str" cm="1">
        <f t="array" ref="G164">_xlfn.IFS(Exam_scores[[#This Row],[Exam score]]&lt;=20, "F",Exam_scores[[#This Row],[Exam score]]&lt;=30,"E",Exam_scores[[#This Row],[Exam score]]&lt;=40,"D",Exam_scores[[#This Row],[Exam score]]&lt;=45,"C",Exam_scores[[#This Row],[Exam score]]&lt;=49,"B",Exam_scores[[#This Row],[Exam score]]&gt;=50,"A")</f>
        <v>E</v>
      </c>
      <c r="H164">
        <v>30</v>
      </c>
    </row>
    <row r="165" spans="1:8" x14ac:dyDescent="0.35">
      <c r="A165" t="s">
        <v>163</v>
      </c>
      <c r="B165">
        <v>11</v>
      </c>
      <c r="C165">
        <v>6.6</v>
      </c>
      <c r="D165">
        <v>67.099999999999994</v>
      </c>
      <c r="E165" t="str" cm="1">
        <f t="array" ref="E165">_xlfn.IFS(Exam_scores[[#This Row],[Previous scores]]&lt;=40,"F",Exam_scores[[#This Row],[Previous scores]]&lt;=45,"E",Exam_scores[[#This Row],[Previous scores]]&lt;=49,"D",Exam_scores[[#This Row],[Previous scores]]&lt;=59,"C",Exam_scores[[#This Row],[Previous scores]]&lt;=80,"B",Exam_scores[[#This Row],[Previous scores]]&gt;=81,"A")</f>
        <v>C</v>
      </c>
      <c r="F165">
        <v>58</v>
      </c>
      <c r="G165" t="str" cm="1">
        <f t="array" ref="G165">_xlfn.IFS(Exam_scores[[#This Row],[Exam score]]&lt;=20, "F",Exam_scores[[#This Row],[Exam score]]&lt;=30,"E",Exam_scores[[#This Row],[Exam score]]&lt;=40,"D",Exam_scores[[#This Row],[Exam score]]&lt;=45,"C",Exam_scores[[#This Row],[Exam score]]&lt;=49,"B",Exam_scores[[#This Row],[Exam score]]&gt;=50,"A")</f>
        <v>D</v>
      </c>
      <c r="H165">
        <v>35.799999999999997</v>
      </c>
    </row>
    <row r="166" spans="1:8" x14ac:dyDescent="0.35">
      <c r="A166" t="s">
        <v>164</v>
      </c>
      <c r="B166">
        <v>10.5</v>
      </c>
      <c r="C166">
        <v>5.9</v>
      </c>
      <c r="D166">
        <v>92.5</v>
      </c>
      <c r="E166" t="str" cm="1">
        <f t="array" ref="E166">_xlfn.IFS(Exam_scores[[#This Row],[Previous scores]]&lt;=40,"F",Exam_scores[[#This Row],[Previous scores]]&lt;=45,"E",Exam_scores[[#This Row],[Previous scores]]&lt;=49,"D",Exam_scores[[#This Row],[Previous scores]]&lt;=59,"C",Exam_scores[[#This Row],[Previous scores]]&lt;=80,"B",Exam_scores[[#This Row],[Previous scores]]&gt;=81,"A")</f>
        <v>A</v>
      </c>
      <c r="F166">
        <v>85</v>
      </c>
      <c r="G166" t="str" cm="1">
        <f t="array" ref="G166">_xlfn.IFS(Exam_scores[[#This Row],[Exam score]]&lt;=20, "F",Exam_scores[[#This Row],[Exam score]]&lt;=30,"E",Exam_scores[[#This Row],[Exam score]]&lt;=40,"D",Exam_scores[[#This Row],[Exam score]]&lt;=45,"C",Exam_scores[[#This Row],[Exam score]]&lt;=49,"B",Exam_scores[[#This Row],[Exam score]]&gt;=50,"A")</f>
        <v>C</v>
      </c>
      <c r="H166">
        <v>40.6</v>
      </c>
    </row>
    <row r="167" spans="1:8" x14ac:dyDescent="0.35">
      <c r="A167" t="s">
        <v>165</v>
      </c>
      <c r="B167">
        <v>1.8</v>
      </c>
      <c r="C167">
        <v>6.9</v>
      </c>
      <c r="D167">
        <v>91.1</v>
      </c>
      <c r="E167" t="str" cm="1">
        <f t="array" ref="E167">_xlfn.IFS(Exam_scores[[#This Row],[Previous scores]]&lt;=40,"F",Exam_scores[[#This Row],[Previous scores]]&lt;=45,"E",Exam_scores[[#This Row],[Previous scores]]&lt;=49,"D",Exam_scores[[#This Row],[Previous scores]]&lt;=59,"C",Exam_scores[[#This Row],[Previous scores]]&lt;=80,"B",Exam_scores[[#This Row],[Previous scores]]&gt;=81,"A")</f>
        <v>C</v>
      </c>
      <c r="F167">
        <v>58</v>
      </c>
      <c r="G167" t="str" cm="1">
        <f t="array" ref="G167">_xlfn.IFS(Exam_scores[[#This Row],[Exam score]]&lt;=20, "F",Exam_scores[[#This Row],[Exam score]]&lt;=30,"E",Exam_scores[[#This Row],[Exam score]]&lt;=40,"D",Exam_scores[[#This Row],[Exam score]]&lt;=45,"C",Exam_scores[[#This Row],[Exam score]]&lt;=49,"B",Exam_scores[[#This Row],[Exam score]]&gt;=50,"A")</f>
        <v>D</v>
      </c>
      <c r="H167">
        <v>30.1</v>
      </c>
    </row>
    <row r="168" spans="1:8" x14ac:dyDescent="0.35">
      <c r="A168" t="s">
        <v>166</v>
      </c>
      <c r="B168">
        <v>3.6</v>
      </c>
      <c r="C168">
        <v>5.3</v>
      </c>
      <c r="D168">
        <v>55.3</v>
      </c>
      <c r="E168" t="str" cm="1">
        <f t="array" ref="E168">_xlfn.IFS(Exam_scores[[#This Row],[Previous scores]]&lt;=40,"F",Exam_scores[[#This Row],[Previous scores]]&lt;=45,"E",Exam_scores[[#This Row],[Previous scores]]&lt;=49,"D",Exam_scores[[#This Row],[Previous scores]]&lt;=59,"C",Exam_scores[[#This Row],[Previous scores]]&lt;=80,"B",Exam_scores[[#This Row],[Previous scores]]&gt;=81,"A")</f>
        <v>A</v>
      </c>
      <c r="F168">
        <v>84</v>
      </c>
      <c r="G168" t="str" cm="1">
        <f t="array" ref="G168">_xlfn.IFS(Exam_scores[[#This Row],[Exam score]]&lt;=20, "F",Exam_scores[[#This Row],[Exam score]]&lt;=30,"E",Exam_scores[[#This Row],[Exam score]]&lt;=40,"D",Exam_scores[[#This Row],[Exam score]]&lt;=45,"C",Exam_scores[[#This Row],[Exam score]]&lt;=49,"B",Exam_scores[[#This Row],[Exam score]]&gt;=50,"A")</f>
        <v>D</v>
      </c>
      <c r="H168">
        <v>30.3</v>
      </c>
    </row>
    <row r="169" spans="1:8" x14ac:dyDescent="0.35">
      <c r="A169" t="s">
        <v>167</v>
      </c>
      <c r="B169">
        <v>8.4</v>
      </c>
      <c r="C169">
        <v>7.5</v>
      </c>
      <c r="D169">
        <v>98</v>
      </c>
      <c r="E169" t="str" cm="1">
        <f t="array" ref="E169">_xlfn.IFS(Exam_scores[[#This Row],[Previous scores]]&lt;=40,"F",Exam_scores[[#This Row],[Previous scores]]&lt;=45,"E",Exam_scores[[#This Row],[Previous scores]]&lt;=49,"D",Exam_scores[[#This Row],[Previous scores]]&lt;=59,"C",Exam_scores[[#This Row],[Previous scores]]&lt;=80,"B",Exam_scores[[#This Row],[Previous scores]]&gt;=81,"A")</f>
        <v>A</v>
      </c>
      <c r="F169">
        <v>95</v>
      </c>
      <c r="G169" t="str" cm="1">
        <f t="array" ref="G169">_xlfn.IFS(Exam_scores[[#This Row],[Exam score]]&lt;=20, "F",Exam_scores[[#This Row],[Exam score]]&lt;=30,"E",Exam_scores[[#This Row],[Exam score]]&lt;=40,"D",Exam_scores[[#This Row],[Exam score]]&lt;=45,"C",Exam_scores[[#This Row],[Exam score]]&lt;=49,"B",Exam_scores[[#This Row],[Exam score]]&gt;=50,"A")</f>
        <v>C</v>
      </c>
      <c r="H169">
        <v>42</v>
      </c>
    </row>
    <row r="170" spans="1:8" x14ac:dyDescent="0.35">
      <c r="A170" t="s">
        <v>168</v>
      </c>
      <c r="B170">
        <v>3.4</v>
      </c>
      <c r="C170">
        <v>4</v>
      </c>
      <c r="D170">
        <v>81.8</v>
      </c>
      <c r="E170" t="str" cm="1">
        <f t="array" ref="E170">_xlfn.IFS(Exam_scores[[#This Row],[Previous scores]]&lt;=40,"F",Exam_scores[[#This Row],[Previous scores]]&lt;=45,"E",Exam_scores[[#This Row],[Previous scores]]&lt;=49,"D",Exam_scores[[#This Row],[Previous scores]]&lt;=59,"C",Exam_scores[[#This Row],[Previous scores]]&lt;=80,"B",Exam_scores[[#This Row],[Previous scores]]&gt;=81,"A")</f>
        <v>B</v>
      </c>
      <c r="F170">
        <v>69</v>
      </c>
      <c r="G170" t="str" cm="1">
        <f t="array" ref="G170">_xlfn.IFS(Exam_scores[[#This Row],[Exam score]]&lt;=20, "F",Exam_scores[[#This Row],[Exam score]]&lt;=30,"E",Exam_scores[[#This Row],[Exam score]]&lt;=40,"D",Exam_scores[[#This Row],[Exam score]]&lt;=45,"C",Exam_scores[[#This Row],[Exam score]]&lt;=49,"B",Exam_scores[[#This Row],[Exam score]]&gt;=50,"A")</f>
        <v>D</v>
      </c>
      <c r="H170">
        <v>32.1</v>
      </c>
    </row>
    <row r="171" spans="1:8" x14ac:dyDescent="0.35">
      <c r="A171" t="s">
        <v>169</v>
      </c>
      <c r="B171">
        <v>2.5</v>
      </c>
      <c r="C171">
        <v>8.6</v>
      </c>
      <c r="D171">
        <v>91.4</v>
      </c>
      <c r="E171" t="str" cm="1">
        <f t="array" ref="E171">_xlfn.IFS(Exam_scores[[#This Row],[Previous scores]]&lt;=40,"F",Exam_scores[[#This Row],[Previous scores]]&lt;=45,"E",Exam_scores[[#This Row],[Previous scores]]&lt;=49,"D",Exam_scores[[#This Row],[Previous scores]]&lt;=59,"C",Exam_scores[[#This Row],[Previous scores]]&lt;=80,"B",Exam_scores[[#This Row],[Previous scores]]&gt;=81,"A")</f>
        <v>E</v>
      </c>
      <c r="F171">
        <v>44</v>
      </c>
      <c r="G171" t="str" cm="1">
        <f t="array" ref="G171">_xlfn.IFS(Exam_scores[[#This Row],[Exam score]]&lt;=20, "F",Exam_scores[[#This Row],[Exam score]]&lt;=30,"E",Exam_scores[[#This Row],[Exam score]]&lt;=40,"D",Exam_scores[[#This Row],[Exam score]]&lt;=45,"C",Exam_scores[[#This Row],[Exam score]]&lt;=49,"B",Exam_scores[[#This Row],[Exam score]]&gt;=50,"A")</f>
        <v>E</v>
      </c>
      <c r="H171">
        <v>22.8</v>
      </c>
    </row>
    <row r="172" spans="1:8" x14ac:dyDescent="0.35">
      <c r="A172" t="s">
        <v>170</v>
      </c>
      <c r="B172">
        <v>11.3</v>
      </c>
      <c r="C172">
        <v>6.7</v>
      </c>
      <c r="D172">
        <v>85.4</v>
      </c>
      <c r="E172" t="str" cm="1">
        <f t="array" ref="E172">_xlfn.IFS(Exam_scores[[#This Row],[Previous scores]]&lt;=40,"F",Exam_scores[[#This Row],[Previous scores]]&lt;=45,"E",Exam_scores[[#This Row],[Previous scores]]&lt;=49,"D",Exam_scores[[#This Row],[Previous scores]]&lt;=59,"C",Exam_scores[[#This Row],[Previous scores]]&lt;=80,"B",Exam_scores[[#This Row],[Previous scores]]&gt;=81,"A")</f>
        <v>A</v>
      </c>
      <c r="F172">
        <v>83</v>
      </c>
      <c r="G172" t="str" cm="1">
        <f t="array" ref="G172">_xlfn.IFS(Exam_scores[[#This Row],[Exam score]]&lt;=20, "F",Exam_scores[[#This Row],[Exam score]]&lt;=30,"E",Exam_scores[[#This Row],[Exam score]]&lt;=40,"D",Exam_scores[[#This Row],[Exam score]]&lt;=45,"C",Exam_scores[[#This Row],[Exam score]]&lt;=49,"B",Exam_scores[[#This Row],[Exam score]]&gt;=50,"A")</f>
        <v>B</v>
      </c>
      <c r="H172">
        <v>45.3</v>
      </c>
    </row>
    <row r="173" spans="1:8" x14ac:dyDescent="0.35">
      <c r="A173" t="s">
        <v>171</v>
      </c>
      <c r="B173">
        <v>7.3</v>
      </c>
      <c r="C173">
        <v>7.6</v>
      </c>
      <c r="D173">
        <v>71.8</v>
      </c>
      <c r="E173" t="str" cm="1">
        <f t="array" ref="E173">_xlfn.IFS(Exam_scores[[#This Row],[Previous scores]]&lt;=40,"F",Exam_scores[[#This Row],[Previous scores]]&lt;=45,"E",Exam_scores[[#This Row],[Previous scores]]&lt;=49,"D",Exam_scores[[#This Row],[Previous scores]]&lt;=59,"C",Exam_scores[[#This Row],[Previous scores]]&lt;=80,"B",Exam_scores[[#This Row],[Previous scores]]&gt;=81,"A")</f>
        <v>C</v>
      </c>
      <c r="F173">
        <v>54</v>
      </c>
      <c r="G173" t="str" cm="1">
        <f t="array" ref="G173">_xlfn.IFS(Exam_scores[[#This Row],[Exam score]]&lt;=20, "F",Exam_scores[[#This Row],[Exam score]]&lt;=30,"E",Exam_scores[[#This Row],[Exam score]]&lt;=40,"D",Exam_scores[[#This Row],[Exam score]]&lt;=45,"C",Exam_scores[[#This Row],[Exam score]]&lt;=49,"B",Exam_scores[[#This Row],[Exam score]]&gt;=50,"A")</f>
        <v>D</v>
      </c>
      <c r="H173">
        <v>31</v>
      </c>
    </row>
    <row r="174" spans="1:8" x14ac:dyDescent="0.35">
      <c r="A174" t="s">
        <v>172</v>
      </c>
      <c r="B174">
        <v>6.2</v>
      </c>
      <c r="C174">
        <v>7.7</v>
      </c>
      <c r="D174">
        <v>86.7</v>
      </c>
      <c r="E174" t="str" cm="1">
        <f t="array" ref="E174">_xlfn.IFS(Exam_scores[[#This Row],[Previous scores]]&lt;=40,"F",Exam_scores[[#This Row],[Previous scores]]&lt;=45,"E",Exam_scores[[#This Row],[Previous scores]]&lt;=49,"D",Exam_scores[[#This Row],[Previous scores]]&lt;=59,"C",Exam_scores[[#This Row],[Previous scores]]&lt;=80,"B",Exam_scores[[#This Row],[Previous scores]]&gt;=81,"A")</f>
        <v>C</v>
      </c>
      <c r="F174">
        <v>56</v>
      </c>
      <c r="G174" t="str" cm="1">
        <f t="array" ref="G174">_xlfn.IFS(Exam_scores[[#This Row],[Exam score]]&lt;=20, "F",Exam_scores[[#This Row],[Exam score]]&lt;=30,"E",Exam_scores[[#This Row],[Exam score]]&lt;=40,"D",Exam_scores[[#This Row],[Exam score]]&lt;=45,"C",Exam_scores[[#This Row],[Exam score]]&lt;=49,"B",Exam_scores[[#This Row],[Exam score]]&gt;=50,"A")</f>
        <v>D</v>
      </c>
      <c r="H174">
        <v>31</v>
      </c>
    </row>
    <row r="175" spans="1:8" x14ac:dyDescent="0.35">
      <c r="A175" t="s">
        <v>173</v>
      </c>
      <c r="B175">
        <v>9.6</v>
      </c>
      <c r="C175">
        <v>7.4</v>
      </c>
      <c r="D175">
        <v>98.3</v>
      </c>
      <c r="E175" t="str" cm="1">
        <f t="array" ref="E175">_xlfn.IFS(Exam_scores[[#This Row],[Previous scores]]&lt;=40,"F",Exam_scores[[#This Row],[Previous scores]]&lt;=45,"E",Exam_scores[[#This Row],[Previous scores]]&lt;=49,"D",Exam_scores[[#This Row],[Previous scores]]&lt;=59,"C",Exam_scores[[#This Row],[Previous scores]]&lt;=80,"B",Exam_scores[[#This Row],[Previous scores]]&gt;=81,"A")</f>
        <v>A</v>
      </c>
      <c r="F175">
        <v>90</v>
      </c>
      <c r="G175" t="str" cm="1">
        <f t="array" ref="G175">_xlfn.IFS(Exam_scores[[#This Row],[Exam score]]&lt;=20, "F",Exam_scores[[#This Row],[Exam score]]&lt;=30,"E",Exam_scores[[#This Row],[Exam score]]&lt;=40,"D",Exam_scores[[#This Row],[Exam score]]&lt;=45,"C",Exam_scores[[#This Row],[Exam score]]&lt;=49,"B",Exam_scores[[#This Row],[Exam score]]&gt;=50,"A")</f>
        <v>C</v>
      </c>
      <c r="H175">
        <v>40.9</v>
      </c>
    </row>
    <row r="176" spans="1:8" x14ac:dyDescent="0.35">
      <c r="A176" t="s">
        <v>174</v>
      </c>
      <c r="B176">
        <v>9.9</v>
      </c>
      <c r="C176">
        <v>5.8</v>
      </c>
      <c r="D176">
        <v>63.5</v>
      </c>
      <c r="E176" t="str" cm="1">
        <f t="array" ref="E176">_xlfn.IFS(Exam_scores[[#This Row],[Previous scores]]&lt;=40,"F",Exam_scores[[#This Row],[Previous scores]]&lt;=45,"E",Exam_scores[[#This Row],[Previous scores]]&lt;=49,"D",Exam_scores[[#This Row],[Previous scores]]&lt;=59,"C",Exam_scores[[#This Row],[Previous scores]]&lt;=80,"B",Exam_scores[[#This Row],[Previous scores]]&gt;=81,"A")</f>
        <v>A</v>
      </c>
      <c r="F176">
        <v>90</v>
      </c>
      <c r="G176" t="str" cm="1">
        <f t="array" ref="G176">_xlfn.IFS(Exam_scores[[#This Row],[Exam score]]&lt;=20, "F",Exam_scores[[#This Row],[Exam score]]&lt;=30,"E",Exam_scores[[#This Row],[Exam score]]&lt;=40,"D",Exam_scores[[#This Row],[Exam score]]&lt;=45,"C",Exam_scores[[#This Row],[Exam score]]&lt;=49,"B",Exam_scores[[#This Row],[Exam score]]&gt;=50,"A")</f>
        <v>C</v>
      </c>
      <c r="H176">
        <v>44.8</v>
      </c>
    </row>
    <row r="177" spans="1:8" x14ac:dyDescent="0.35">
      <c r="A177" t="s">
        <v>175</v>
      </c>
      <c r="B177">
        <v>3.1</v>
      </c>
      <c r="C177">
        <v>4.3</v>
      </c>
      <c r="D177">
        <v>90.4</v>
      </c>
      <c r="E177" t="str" cm="1">
        <f t="array" ref="E177">_xlfn.IFS(Exam_scores[[#This Row],[Previous scores]]&lt;=40,"F",Exam_scores[[#This Row],[Previous scores]]&lt;=45,"E",Exam_scores[[#This Row],[Previous scores]]&lt;=49,"D",Exam_scores[[#This Row],[Previous scores]]&lt;=59,"C",Exam_scores[[#This Row],[Previous scores]]&lt;=80,"B",Exam_scores[[#This Row],[Previous scores]]&gt;=81,"A")</f>
        <v>B</v>
      </c>
      <c r="F177">
        <v>80</v>
      </c>
      <c r="G177" t="str" cm="1">
        <f t="array" ref="G177">_xlfn.IFS(Exam_scores[[#This Row],[Exam score]]&lt;=20, "F",Exam_scores[[#This Row],[Exam score]]&lt;=30,"E",Exam_scores[[#This Row],[Exam score]]&lt;=40,"D",Exam_scores[[#This Row],[Exam score]]&lt;=45,"C",Exam_scores[[#This Row],[Exam score]]&lt;=49,"B",Exam_scores[[#This Row],[Exam score]]&gt;=50,"A")</f>
        <v>D</v>
      </c>
      <c r="H177">
        <v>34.4</v>
      </c>
    </row>
    <row r="178" spans="1:8" x14ac:dyDescent="0.35">
      <c r="A178" t="s">
        <v>176</v>
      </c>
      <c r="B178">
        <v>2.1</v>
      </c>
      <c r="C178">
        <v>7.3</v>
      </c>
      <c r="D178">
        <v>76.900000000000006</v>
      </c>
      <c r="E178" t="str" cm="1">
        <f t="array" ref="E178">_xlfn.IFS(Exam_scores[[#This Row],[Previous scores]]&lt;=40,"F",Exam_scores[[#This Row],[Previous scores]]&lt;=45,"E",Exam_scores[[#This Row],[Previous scores]]&lt;=49,"D",Exam_scores[[#This Row],[Previous scores]]&lt;=59,"C",Exam_scores[[#This Row],[Previous scores]]&lt;=80,"B",Exam_scores[[#This Row],[Previous scores]]&gt;=81,"A")</f>
        <v>B</v>
      </c>
      <c r="F178">
        <v>77</v>
      </c>
      <c r="G178" t="str" cm="1">
        <f t="array" ref="G178">_xlfn.IFS(Exam_scores[[#This Row],[Exam score]]&lt;=20, "F",Exam_scores[[#This Row],[Exam score]]&lt;=30,"E",Exam_scores[[#This Row],[Exam score]]&lt;=40,"D",Exam_scores[[#This Row],[Exam score]]&lt;=45,"C",Exam_scores[[#This Row],[Exam score]]&lt;=49,"B",Exam_scores[[#This Row],[Exam score]]&gt;=50,"A")</f>
        <v>D</v>
      </c>
      <c r="H178">
        <v>30.7</v>
      </c>
    </row>
    <row r="179" spans="1:8" x14ac:dyDescent="0.35">
      <c r="A179" t="s">
        <v>177</v>
      </c>
      <c r="B179">
        <v>5.7</v>
      </c>
      <c r="C179">
        <v>5.7</v>
      </c>
      <c r="D179">
        <v>74.2</v>
      </c>
      <c r="E179" t="str" cm="1">
        <f t="array" ref="E179">_xlfn.IFS(Exam_scores[[#This Row],[Previous scores]]&lt;=40,"F",Exam_scores[[#This Row],[Previous scores]]&lt;=45,"E",Exam_scores[[#This Row],[Previous scores]]&lt;=49,"D",Exam_scores[[#This Row],[Previous scores]]&lt;=59,"C",Exam_scores[[#This Row],[Previous scores]]&lt;=80,"B",Exam_scores[[#This Row],[Previous scores]]&gt;=81,"A")</f>
        <v>A</v>
      </c>
      <c r="F179">
        <v>82</v>
      </c>
      <c r="G179" t="str" cm="1">
        <f t="array" ref="G179">_xlfn.IFS(Exam_scores[[#This Row],[Exam score]]&lt;=20, "F",Exam_scores[[#This Row],[Exam score]]&lt;=30,"E",Exam_scores[[#This Row],[Exam score]]&lt;=40,"D",Exam_scores[[#This Row],[Exam score]]&lt;=45,"C",Exam_scores[[#This Row],[Exam score]]&lt;=49,"B",Exam_scores[[#This Row],[Exam score]]&gt;=50,"A")</f>
        <v>D</v>
      </c>
      <c r="H179">
        <v>31</v>
      </c>
    </row>
    <row r="180" spans="1:8" x14ac:dyDescent="0.35">
      <c r="A180" t="s">
        <v>178</v>
      </c>
      <c r="B180">
        <v>5.7</v>
      </c>
      <c r="C180">
        <v>5.6</v>
      </c>
      <c r="D180">
        <v>71.8</v>
      </c>
      <c r="E180" t="str" cm="1">
        <f t="array" ref="E180">_xlfn.IFS(Exam_scores[[#This Row],[Previous scores]]&lt;=40,"F",Exam_scores[[#This Row],[Previous scores]]&lt;=45,"E",Exam_scores[[#This Row],[Previous scores]]&lt;=49,"D",Exam_scores[[#This Row],[Previous scores]]&lt;=59,"C",Exam_scores[[#This Row],[Previous scores]]&lt;=80,"B",Exam_scores[[#This Row],[Previous scores]]&gt;=81,"A")</f>
        <v>A</v>
      </c>
      <c r="F180">
        <v>91</v>
      </c>
      <c r="G180" t="str" cm="1">
        <f t="array" ref="G180">_xlfn.IFS(Exam_scores[[#This Row],[Exam score]]&lt;=20, "F",Exam_scores[[#This Row],[Exam score]]&lt;=30,"E",Exam_scores[[#This Row],[Exam score]]&lt;=40,"D",Exam_scores[[#This Row],[Exam score]]&lt;=45,"C",Exam_scores[[#This Row],[Exam score]]&lt;=49,"B",Exam_scores[[#This Row],[Exam score]]&gt;=50,"A")</f>
        <v>D</v>
      </c>
      <c r="H180">
        <v>35</v>
      </c>
    </row>
    <row r="181" spans="1:8" x14ac:dyDescent="0.35">
      <c r="A181" t="s">
        <v>179</v>
      </c>
      <c r="B181">
        <v>6.1</v>
      </c>
      <c r="C181">
        <v>8.1999999999999993</v>
      </c>
      <c r="D181">
        <v>86.6</v>
      </c>
      <c r="E181" t="str" cm="1">
        <f t="array" ref="E181">_xlfn.IFS(Exam_scores[[#This Row],[Previous scores]]&lt;=40,"F",Exam_scores[[#This Row],[Previous scores]]&lt;=45,"E",Exam_scores[[#This Row],[Previous scores]]&lt;=49,"D",Exam_scores[[#This Row],[Previous scores]]&lt;=59,"C",Exam_scores[[#This Row],[Previous scores]]&lt;=80,"B",Exam_scores[[#This Row],[Previous scores]]&gt;=81,"A")</f>
        <v>C</v>
      </c>
      <c r="F181">
        <v>52</v>
      </c>
      <c r="G181" t="str" cm="1">
        <f t="array" ref="G181">_xlfn.IFS(Exam_scores[[#This Row],[Exam score]]&lt;=20, "F",Exam_scores[[#This Row],[Exam score]]&lt;=30,"E",Exam_scores[[#This Row],[Exam score]]&lt;=40,"D",Exam_scores[[#This Row],[Exam score]]&lt;=45,"C",Exam_scores[[#This Row],[Exam score]]&lt;=49,"B",Exam_scores[[#This Row],[Exam score]]&gt;=50,"A")</f>
        <v>D</v>
      </c>
      <c r="H181">
        <v>31.4</v>
      </c>
    </row>
    <row r="182" spans="1:8" x14ac:dyDescent="0.35">
      <c r="A182" t="s">
        <v>180</v>
      </c>
      <c r="B182">
        <v>9</v>
      </c>
      <c r="C182">
        <v>7.6</v>
      </c>
      <c r="D182">
        <v>63.4</v>
      </c>
      <c r="E182" t="str" cm="1">
        <f t="array" ref="E182">_xlfn.IFS(Exam_scores[[#This Row],[Previous scores]]&lt;=40,"F",Exam_scores[[#This Row],[Previous scores]]&lt;=45,"E",Exam_scores[[#This Row],[Previous scores]]&lt;=49,"D",Exam_scores[[#This Row],[Previous scores]]&lt;=59,"C",Exam_scores[[#This Row],[Previous scores]]&lt;=80,"B",Exam_scores[[#This Row],[Previous scores]]&gt;=81,"A")</f>
        <v>B</v>
      </c>
      <c r="F182">
        <v>67</v>
      </c>
      <c r="G182" t="str" cm="1">
        <f t="array" ref="G182">_xlfn.IFS(Exam_scores[[#This Row],[Exam score]]&lt;=20, "F",Exam_scores[[#This Row],[Exam score]]&lt;=30,"E",Exam_scores[[#This Row],[Exam score]]&lt;=40,"D",Exam_scores[[#This Row],[Exam score]]&lt;=45,"C",Exam_scores[[#This Row],[Exam score]]&lt;=49,"B",Exam_scores[[#This Row],[Exam score]]&gt;=50,"A")</f>
        <v>D</v>
      </c>
      <c r="H182">
        <v>38.4</v>
      </c>
    </row>
    <row r="183" spans="1:8" x14ac:dyDescent="0.35">
      <c r="A183" t="s">
        <v>181</v>
      </c>
      <c r="B183">
        <v>8.4</v>
      </c>
      <c r="C183">
        <v>5.5</v>
      </c>
      <c r="D183">
        <v>92.6</v>
      </c>
      <c r="E183" t="str" cm="1">
        <f t="array" ref="E183">_xlfn.IFS(Exam_scores[[#This Row],[Previous scores]]&lt;=40,"F",Exam_scores[[#This Row],[Previous scores]]&lt;=45,"E",Exam_scores[[#This Row],[Previous scores]]&lt;=49,"D",Exam_scores[[#This Row],[Previous scores]]&lt;=59,"C",Exam_scores[[#This Row],[Previous scores]]&lt;=80,"B",Exam_scores[[#This Row],[Previous scores]]&gt;=81,"A")</f>
        <v>D</v>
      </c>
      <c r="F183">
        <v>47</v>
      </c>
      <c r="G183" t="str" cm="1">
        <f t="array" ref="G183">_xlfn.IFS(Exam_scores[[#This Row],[Exam score]]&lt;=20, "F",Exam_scores[[#This Row],[Exam score]]&lt;=30,"E",Exam_scores[[#This Row],[Exam score]]&lt;=40,"D",Exam_scores[[#This Row],[Exam score]]&lt;=45,"C",Exam_scores[[#This Row],[Exam score]]&lt;=49,"B",Exam_scores[[#This Row],[Exam score]]&gt;=50,"A")</f>
        <v>D</v>
      </c>
      <c r="H183">
        <v>36.1</v>
      </c>
    </row>
    <row r="184" spans="1:8" x14ac:dyDescent="0.35">
      <c r="A184" t="s">
        <v>182</v>
      </c>
      <c r="B184">
        <v>11.8</v>
      </c>
      <c r="C184">
        <v>5.5</v>
      </c>
      <c r="D184">
        <v>91.5</v>
      </c>
      <c r="E184" t="str" cm="1">
        <f t="array" ref="E184">_xlfn.IFS(Exam_scores[[#This Row],[Previous scores]]&lt;=40,"F",Exam_scores[[#This Row],[Previous scores]]&lt;=45,"E",Exam_scores[[#This Row],[Previous scores]]&lt;=49,"D",Exam_scores[[#This Row],[Previous scores]]&lt;=59,"C",Exam_scores[[#This Row],[Previous scores]]&lt;=80,"B",Exam_scores[[#This Row],[Previous scores]]&gt;=81,"A")</f>
        <v>B</v>
      </c>
      <c r="F184">
        <v>74</v>
      </c>
      <c r="G184" t="str" cm="1">
        <f t="array" ref="G184">_xlfn.IFS(Exam_scores[[#This Row],[Exam score]]&lt;=20, "F",Exam_scores[[#This Row],[Exam score]]&lt;=30,"E",Exam_scores[[#This Row],[Exam score]]&lt;=40,"D",Exam_scores[[#This Row],[Exam score]]&lt;=45,"C",Exam_scores[[#This Row],[Exam score]]&lt;=49,"B",Exam_scores[[#This Row],[Exam score]]&gt;=50,"A")</f>
        <v>C</v>
      </c>
      <c r="H184">
        <v>44.1</v>
      </c>
    </row>
    <row r="185" spans="1:8" x14ac:dyDescent="0.35">
      <c r="A185" t="s">
        <v>183</v>
      </c>
      <c r="B185">
        <v>2.1</v>
      </c>
      <c r="C185">
        <v>6</v>
      </c>
      <c r="D185">
        <v>54.3</v>
      </c>
      <c r="E185" t="str" cm="1">
        <f t="array" ref="E185">_xlfn.IFS(Exam_scores[[#This Row],[Previous scores]]&lt;=40,"F",Exam_scores[[#This Row],[Previous scores]]&lt;=45,"E",Exam_scores[[#This Row],[Previous scores]]&lt;=49,"D",Exam_scores[[#This Row],[Previous scores]]&lt;=59,"C",Exam_scores[[#This Row],[Previous scores]]&lt;=80,"B",Exam_scores[[#This Row],[Previous scores]]&gt;=81,"A")</f>
        <v>C</v>
      </c>
      <c r="F185">
        <v>54</v>
      </c>
      <c r="G185" t="str" cm="1">
        <f t="array" ref="G185">_xlfn.IFS(Exam_scores[[#This Row],[Exam score]]&lt;=20, "F",Exam_scores[[#This Row],[Exam score]]&lt;=30,"E",Exam_scores[[#This Row],[Exam score]]&lt;=40,"D",Exam_scores[[#This Row],[Exam score]]&lt;=45,"C",Exam_scores[[#This Row],[Exam score]]&lt;=49,"B",Exam_scores[[#This Row],[Exam score]]&gt;=50,"A")</f>
        <v>F</v>
      </c>
      <c r="H185">
        <v>19.399999999999999</v>
      </c>
    </row>
    <row r="186" spans="1:8" x14ac:dyDescent="0.35">
      <c r="A186" t="s">
        <v>184</v>
      </c>
      <c r="B186">
        <v>5.4</v>
      </c>
      <c r="C186">
        <v>6</v>
      </c>
      <c r="D186">
        <v>94.1</v>
      </c>
      <c r="E186" t="str" cm="1">
        <f t="array" ref="E186">_xlfn.IFS(Exam_scores[[#This Row],[Previous scores]]&lt;=40,"F",Exam_scores[[#This Row],[Previous scores]]&lt;=45,"E",Exam_scores[[#This Row],[Previous scores]]&lt;=49,"D",Exam_scores[[#This Row],[Previous scores]]&lt;=59,"C",Exam_scores[[#This Row],[Previous scores]]&lt;=80,"B",Exam_scores[[#This Row],[Previous scores]]&gt;=81,"A")</f>
        <v>A</v>
      </c>
      <c r="F186">
        <v>81</v>
      </c>
      <c r="G186" t="str" cm="1">
        <f t="array" ref="G186">_xlfn.IFS(Exam_scores[[#This Row],[Exam score]]&lt;=20, "F",Exam_scores[[#This Row],[Exam score]]&lt;=30,"E",Exam_scores[[#This Row],[Exam score]]&lt;=40,"D",Exam_scores[[#This Row],[Exam score]]&lt;=45,"C",Exam_scores[[#This Row],[Exam score]]&lt;=49,"B",Exam_scores[[#This Row],[Exam score]]&gt;=50,"A")</f>
        <v>D</v>
      </c>
      <c r="H186">
        <v>39.4</v>
      </c>
    </row>
    <row r="187" spans="1:8" x14ac:dyDescent="0.35">
      <c r="A187" t="s">
        <v>185</v>
      </c>
      <c r="B187">
        <v>4.7</v>
      </c>
      <c r="C187">
        <v>5.5</v>
      </c>
      <c r="D187">
        <v>62.2</v>
      </c>
      <c r="E187" t="str" cm="1">
        <f t="array" ref="E187">_xlfn.IFS(Exam_scores[[#This Row],[Previous scores]]&lt;=40,"F",Exam_scores[[#This Row],[Previous scores]]&lt;=45,"E",Exam_scores[[#This Row],[Previous scores]]&lt;=49,"D",Exam_scores[[#This Row],[Previous scores]]&lt;=59,"C",Exam_scores[[#This Row],[Previous scores]]&lt;=80,"B",Exam_scores[[#This Row],[Previous scores]]&gt;=81,"A")</f>
        <v>D</v>
      </c>
      <c r="F187">
        <v>49</v>
      </c>
      <c r="G187" t="str" cm="1">
        <f t="array" ref="G187">_xlfn.IFS(Exam_scores[[#This Row],[Exam score]]&lt;=20, "F",Exam_scores[[#This Row],[Exam score]]&lt;=30,"E",Exam_scores[[#This Row],[Exam score]]&lt;=40,"D",Exam_scores[[#This Row],[Exam score]]&lt;=45,"C",Exam_scores[[#This Row],[Exam score]]&lt;=49,"B",Exam_scores[[#This Row],[Exam score]]&gt;=50,"A")</f>
        <v>E</v>
      </c>
      <c r="H187">
        <v>22.9</v>
      </c>
    </row>
    <row r="188" spans="1:8" x14ac:dyDescent="0.35">
      <c r="A188" t="s">
        <v>186</v>
      </c>
      <c r="B188">
        <v>10.5</v>
      </c>
      <c r="C188">
        <v>4.5999999999999996</v>
      </c>
      <c r="D188">
        <v>73.2</v>
      </c>
      <c r="E188" t="str" cm="1">
        <f t="array" ref="E188">_xlfn.IFS(Exam_scores[[#This Row],[Previous scores]]&lt;=40,"F",Exam_scores[[#This Row],[Previous scores]]&lt;=45,"E",Exam_scores[[#This Row],[Previous scores]]&lt;=49,"D",Exam_scores[[#This Row],[Previous scores]]&lt;=59,"C",Exam_scores[[#This Row],[Previous scores]]&lt;=80,"B",Exam_scores[[#This Row],[Previous scores]]&gt;=81,"A")</f>
        <v>C</v>
      </c>
      <c r="F188">
        <v>57</v>
      </c>
      <c r="G188" t="str" cm="1">
        <f t="array" ref="G188">_xlfn.IFS(Exam_scores[[#This Row],[Exam score]]&lt;=20, "F",Exam_scores[[#This Row],[Exam score]]&lt;=30,"E",Exam_scores[[#This Row],[Exam score]]&lt;=40,"D",Exam_scores[[#This Row],[Exam score]]&lt;=45,"C",Exam_scores[[#This Row],[Exam score]]&lt;=49,"B",Exam_scores[[#This Row],[Exam score]]&gt;=50,"A")</f>
        <v>D</v>
      </c>
      <c r="H188">
        <v>36.200000000000003</v>
      </c>
    </row>
    <row r="189" spans="1:8" x14ac:dyDescent="0.35">
      <c r="A189" t="s">
        <v>187</v>
      </c>
      <c r="B189">
        <v>3.7</v>
      </c>
      <c r="C189">
        <v>6.1</v>
      </c>
      <c r="D189">
        <v>80.5</v>
      </c>
      <c r="E189" t="str" cm="1">
        <f t="array" ref="E189">_xlfn.IFS(Exam_scores[[#This Row],[Previous scores]]&lt;=40,"F",Exam_scores[[#This Row],[Previous scores]]&lt;=45,"E",Exam_scores[[#This Row],[Previous scores]]&lt;=49,"D",Exam_scores[[#This Row],[Previous scores]]&lt;=59,"C",Exam_scores[[#This Row],[Previous scores]]&lt;=80,"B",Exam_scores[[#This Row],[Previous scores]]&gt;=81,"A")</f>
        <v>A</v>
      </c>
      <c r="F189">
        <v>92</v>
      </c>
      <c r="G189" t="str" cm="1">
        <f t="array" ref="G189">_xlfn.IFS(Exam_scores[[#This Row],[Exam score]]&lt;=20, "F",Exam_scores[[#This Row],[Exam score]]&lt;=30,"E",Exam_scores[[#This Row],[Exam score]]&lt;=40,"D",Exam_scores[[#This Row],[Exam score]]&lt;=45,"C",Exam_scores[[#This Row],[Exam score]]&lt;=49,"B",Exam_scores[[#This Row],[Exam score]]&gt;=50,"A")</f>
        <v>D</v>
      </c>
      <c r="H189">
        <v>33.4</v>
      </c>
    </row>
    <row r="190" spans="1:8" x14ac:dyDescent="0.35">
      <c r="A190" t="s">
        <v>188</v>
      </c>
      <c r="B190">
        <v>3.1</v>
      </c>
      <c r="C190">
        <v>8.6999999999999993</v>
      </c>
      <c r="D190">
        <v>68.900000000000006</v>
      </c>
      <c r="E190" t="str" cm="1">
        <f t="array" ref="E190">_xlfn.IFS(Exam_scores[[#This Row],[Previous scores]]&lt;=40,"F",Exam_scores[[#This Row],[Previous scores]]&lt;=45,"E",Exam_scores[[#This Row],[Previous scores]]&lt;=49,"D",Exam_scores[[#This Row],[Previous scores]]&lt;=59,"C",Exam_scores[[#This Row],[Previous scores]]&lt;=80,"B",Exam_scores[[#This Row],[Previous scores]]&gt;=81,"A")</f>
        <v>D</v>
      </c>
      <c r="F190">
        <v>49</v>
      </c>
      <c r="G190" t="str" cm="1">
        <f t="array" ref="G190">_xlfn.IFS(Exam_scores[[#This Row],[Exam score]]&lt;=20, "F",Exam_scores[[#This Row],[Exam score]]&lt;=30,"E",Exam_scores[[#This Row],[Exam score]]&lt;=40,"D",Exam_scores[[#This Row],[Exam score]]&lt;=45,"C",Exam_scores[[#This Row],[Exam score]]&lt;=49,"B",Exam_scores[[#This Row],[Exam score]]&gt;=50,"A")</f>
        <v>E</v>
      </c>
      <c r="H190">
        <v>23.4</v>
      </c>
    </row>
    <row r="191" spans="1:8" x14ac:dyDescent="0.35">
      <c r="A191" t="s">
        <v>189</v>
      </c>
      <c r="B191">
        <v>5.9</v>
      </c>
      <c r="C191">
        <v>7.4</v>
      </c>
      <c r="D191">
        <v>51.4</v>
      </c>
      <c r="E191" t="str" cm="1">
        <f t="array" ref="E191">_xlfn.IFS(Exam_scores[[#This Row],[Previous scores]]&lt;=40,"F",Exam_scores[[#This Row],[Previous scores]]&lt;=45,"E",Exam_scores[[#This Row],[Previous scores]]&lt;=49,"D",Exam_scores[[#This Row],[Previous scores]]&lt;=59,"C",Exam_scores[[#This Row],[Previous scores]]&lt;=80,"B",Exam_scores[[#This Row],[Previous scores]]&gt;=81,"A")</f>
        <v>E</v>
      </c>
      <c r="F191">
        <v>44</v>
      </c>
      <c r="G191" t="str" cm="1">
        <f t="array" ref="G191">_xlfn.IFS(Exam_scores[[#This Row],[Exam score]]&lt;=20, "F",Exam_scores[[#This Row],[Exam score]]&lt;=30,"E",Exam_scores[[#This Row],[Exam score]]&lt;=40,"D",Exam_scores[[#This Row],[Exam score]]&lt;=45,"C",Exam_scores[[#This Row],[Exam score]]&lt;=49,"B",Exam_scores[[#This Row],[Exam score]]&gt;=50,"A")</f>
        <v>E</v>
      </c>
      <c r="H191">
        <v>28</v>
      </c>
    </row>
    <row r="192" spans="1:8" x14ac:dyDescent="0.35">
      <c r="A192" t="s">
        <v>190</v>
      </c>
      <c r="B192">
        <v>5.6</v>
      </c>
      <c r="C192">
        <v>8.5</v>
      </c>
      <c r="D192">
        <v>92.5</v>
      </c>
      <c r="E192" t="str" cm="1">
        <f t="array" ref="E192">_xlfn.IFS(Exam_scores[[#This Row],[Previous scores]]&lt;=40,"F",Exam_scores[[#This Row],[Previous scores]]&lt;=45,"E",Exam_scores[[#This Row],[Previous scores]]&lt;=49,"D",Exam_scores[[#This Row],[Previous scores]]&lt;=59,"C",Exam_scores[[#This Row],[Previous scores]]&lt;=80,"B",Exam_scores[[#This Row],[Previous scores]]&gt;=81,"A")</f>
        <v>E</v>
      </c>
      <c r="F192">
        <v>43</v>
      </c>
      <c r="G192" t="str" cm="1">
        <f t="array" ref="G192">_xlfn.IFS(Exam_scores[[#This Row],[Exam score]]&lt;=20, "F",Exam_scores[[#This Row],[Exam score]]&lt;=30,"E",Exam_scores[[#This Row],[Exam score]]&lt;=40,"D",Exam_scores[[#This Row],[Exam score]]&lt;=45,"C",Exam_scores[[#This Row],[Exam score]]&lt;=49,"B",Exam_scores[[#This Row],[Exam score]]&gt;=50,"A")</f>
        <v>D</v>
      </c>
      <c r="H192">
        <v>32.200000000000003</v>
      </c>
    </row>
    <row r="193" spans="1:8" x14ac:dyDescent="0.35">
      <c r="A193" t="s">
        <v>191</v>
      </c>
      <c r="B193">
        <v>4.0999999999999996</v>
      </c>
      <c r="C193">
        <v>7.1</v>
      </c>
      <c r="D193">
        <v>59.1</v>
      </c>
      <c r="E193" t="str" cm="1">
        <f t="array" ref="E193">_xlfn.IFS(Exam_scores[[#This Row],[Previous scores]]&lt;=40,"F",Exam_scores[[#This Row],[Previous scores]]&lt;=45,"E",Exam_scores[[#This Row],[Previous scores]]&lt;=49,"D",Exam_scores[[#This Row],[Previous scores]]&lt;=59,"C",Exam_scores[[#This Row],[Previous scores]]&lt;=80,"B",Exam_scores[[#This Row],[Previous scores]]&gt;=81,"A")</f>
        <v>C</v>
      </c>
      <c r="F193">
        <v>50</v>
      </c>
      <c r="G193" t="str" cm="1">
        <f t="array" ref="G193">_xlfn.IFS(Exam_scores[[#This Row],[Exam score]]&lt;=20, "F",Exam_scores[[#This Row],[Exam score]]&lt;=30,"E",Exam_scores[[#This Row],[Exam score]]&lt;=40,"D",Exam_scores[[#This Row],[Exam score]]&lt;=45,"C",Exam_scores[[#This Row],[Exam score]]&lt;=49,"B",Exam_scores[[#This Row],[Exam score]]&gt;=50,"A")</f>
        <v>D</v>
      </c>
      <c r="H193">
        <v>30.7</v>
      </c>
    </row>
    <row r="194" spans="1:8" x14ac:dyDescent="0.35">
      <c r="A194" t="s">
        <v>192</v>
      </c>
      <c r="B194">
        <v>3.7</v>
      </c>
      <c r="C194">
        <v>5.5</v>
      </c>
      <c r="D194">
        <v>60.6</v>
      </c>
      <c r="E194" t="str" cm="1">
        <f t="array" ref="E194">_xlfn.IFS(Exam_scores[[#This Row],[Previous scores]]&lt;=40,"F",Exam_scores[[#This Row],[Previous scores]]&lt;=45,"E",Exam_scores[[#This Row],[Previous scores]]&lt;=49,"D",Exam_scores[[#This Row],[Previous scores]]&lt;=59,"C",Exam_scores[[#This Row],[Previous scores]]&lt;=80,"B",Exam_scores[[#This Row],[Previous scores]]&gt;=81,"A")</f>
        <v>A</v>
      </c>
      <c r="F194">
        <v>90</v>
      </c>
      <c r="G194" t="str" cm="1">
        <f t="array" ref="G194">_xlfn.IFS(Exam_scores[[#This Row],[Exam score]]&lt;=20, "F",Exam_scores[[#This Row],[Exam score]]&lt;=30,"E",Exam_scores[[#This Row],[Exam score]]&lt;=40,"D",Exam_scores[[#This Row],[Exam score]]&lt;=45,"C",Exam_scores[[#This Row],[Exam score]]&lt;=49,"B",Exam_scores[[#This Row],[Exam score]]&gt;=50,"A")</f>
        <v>E</v>
      </c>
      <c r="H194">
        <v>28.8</v>
      </c>
    </row>
    <row r="195" spans="1:8" x14ac:dyDescent="0.35">
      <c r="A195" t="s">
        <v>193</v>
      </c>
      <c r="B195">
        <v>11.2</v>
      </c>
      <c r="C195">
        <v>6.7</v>
      </c>
      <c r="D195">
        <v>89.9</v>
      </c>
      <c r="E195" t="str" cm="1">
        <f t="array" ref="E195">_xlfn.IFS(Exam_scores[[#This Row],[Previous scores]]&lt;=40,"F",Exam_scores[[#This Row],[Previous scores]]&lt;=45,"E",Exam_scores[[#This Row],[Previous scores]]&lt;=49,"D",Exam_scores[[#This Row],[Previous scores]]&lt;=59,"C",Exam_scores[[#This Row],[Previous scores]]&lt;=80,"B",Exam_scores[[#This Row],[Previous scores]]&gt;=81,"A")</f>
        <v>C</v>
      </c>
      <c r="F195">
        <v>59</v>
      </c>
      <c r="G195" t="str" cm="1">
        <f t="array" ref="G195">_xlfn.IFS(Exam_scores[[#This Row],[Exam score]]&lt;=20, "F",Exam_scores[[#This Row],[Exam score]]&lt;=30,"E",Exam_scores[[#This Row],[Exam score]]&lt;=40,"D",Exam_scores[[#This Row],[Exam score]]&lt;=45,"C",Exam_scores[[#This Row],[Exam score]]&lt;=49,"B",Exam_scores[[#This Row],[Exam score]]&gt;=50,"A")</f>
        <v>B</v>
      </c>
      <c r="H195">
        <v>46.7</v>
      </c>
    </row>
    <row r="196" spans="1:8" x14ac:dyDescent="0.35">
      <c r="A196" t="s">
        <v>194</v>
      </c>
      <c r="B196">
        <v>5.9</v>
      </c>
      <c r="C196">
        <v>4</v>
      </c>
      <c r="D196">
        <v>67</v>
      </c>
      <c r="E196" t="str" cm="1">
        <f t="array" ref="E196">_xlfn.IFS(Exam_scores[[#This Row],[Previous scores]]&lt;=40,"F",Exam_scores[[#This Row],[Previous scores]]&lt;=45,"E",Exam_scores[[#This Row],[Previous scores]]&lt;=49,"D",Exam_scores[[#This Row],[Previous scores]]&lt;=59,"C",Exam_scores[[#This Row],[Previous scores]]&lt;=80,"B",Exam_scores[[#This Row],[Previous scores]]&gt;=81,"A")</f>
        <v>B</v>
      </c>
      <c r="F196">
        <v>78</v>
      </c>
      <c r="G196" t="str" cm="1">
        <f t="array" ref="G196">_xlfn.IFS(Exam_scores[[#This Row],[Exam score]]&lt;=20, "F",Exam_scores[[#This Row],[Exam score]]&lt;=30,"E",Exam_scores[[#This Row],[Exam score]]&lt;=40,"D",Exam_scores[[#This Row],[Exam score]]&lt;=45,"C",Exam_scores[[#This Row],[Exam score]]&lt;=49,"B",Exam_scores[[#This Row],[Exam score]]&gt;=50,"A")</f>
        <v>D</v>
      </c>
      <c r="H196">
        <v>33.799999999999997</v>
      </c>
    </row>
    <row r="197" spans="1:8" x14ac:dyDescent="0.35">
      <c r="A197" t="s">
        <v>195</v>
      </c>
      <c r="B197">
        <v>10.5</v>
      </c>
      <c r="C197">
        <v>5.4</v>
      </c>
      <c r="D197">
        <v>94</v>
      </c>
      <c r="E197" t="str" cm="1">
        <f t="array" ref="E197">_xlfn.IFS(Exam_scores[[#This Row],[Previous scores]]&lt;=40,"F",Exam_scores[[#This Row],[Previous scores]]&lt;=45,"E",Exam_scores[[#This Row],[Previous scores]]&lt;=49,"D",Exam_scores[[#This Row],[Previous scores]]&lt;=59,"C",Exam_scores[[#This Row],[Previous scores]]&lt;=80,"B",Exam_scores[[#This Row],[Previous scores]]&gt;=81,"A")</f>
        <v>A</v>
      </c>
      <c r="F197">
        <v>87</v>
      </c>
      <c r="G197" t="str" cm="1">
        <f t="array" ref="G197">_xlfn.IFS(Exam_scores[[#This Row],[Exam score]]&lt;=20, "F",Exam_scores[[#This Row],[Exam score]]&lt;=30,"E",Exam_scores[[#This Row],[Exam score]]&lt;=40,"D",Exam_scores[[#This Row],[Exam score]]&lt;=45,"C",Exam_scores[[#This Row],[Exam score]]&lt;=49,"B",Exam_scores[[#This Row],[Exam score]]&gt;=50,"A")</f>
        <v>C</v>
      </c>
      <c r="H197">
        <v>42.7</v>
      </c>
    </row>
    <row r="198" spans="1:8" x14ac:dyDescent="0.35">
      <c r="A198" t="s">
        <v>196</v>
      </c>
      <c r="B198">
        <v>7.1</v>
      </c>
      <c r="C198">
        <v>6.1</v>
      </c>
      <c r="D198">
        <v>85.1</v>
      </c>
      <c r="E198" t="str" cm="1">
        <f t="array" ref="E198">_xlfn.IFS(Exam_scores[[#This Row],[Previous scores]]&lt;=40,"F",Exam_scores[[#This Row],[Previous scores]]&lt;=45,"E",Exam_scores[[#This Row],[Previous scores]]&lt;=49,"D",Exam_scores[[#This Row],[Previous scores]]&lt;=59,"C",Exam_scores[[#This Row],[Previous scores]]&lt;=80,"B",Exam_scores[[#This Row],[Previous scores]]&gt;=81,"A")</f>
        <v>A</v>
      </c>
      <c r="F198">
        <v>92</v>
      </c>
      <c r="G198" t="str" cm="1">
        <f t="array" ref="G198">_xlfn.IFS(Exam_scores[[#This Row],[Exam score]]&lt;=20, "F",Exam_scores[[#This Row],[Exam score]]&lt;=30,"E",Exam_scores[[#This Row],[Exam score]]&lt;=40,"D",Exam_scores[[#This Row],[Exam score]]&lt;=45,"C",Exam_scores[[#This Row],[Exam score]]&lt;=49,"B",Exam_scores[[#This Row],[Exam score]]&gt;=50,"A")</f>
        <v>C</v>
      </c>
      <c r="H198">
        <v>40.4</v>
      </c>
    </row>
    <row r="199" spans="1:8" x14ac:dyDescent="0.35">
      <c r="A199" t="s">
        <v>197</v>
      </c>
      <c r="B199">
        <v>1.6</v>
      </c>
      <c r="C199">
        <v>6.9</v>
      </c>
      <c r="D199">
        <v>63.8</v>
      </c>
      <c r="E199" t="str" cm="1">
        <f t="array" ref="E199">_xlfn.IFS(Exam_scores[[#This Row],[Previous scores]]&lt;=40,"F",Exam_scores[[#This Row],[Previous scores]]&lt;=45,"E",Exam_scores[[#This Row],[Previous scores]]&lt;=49,"D",Exam_scores[[#This Row],[Previous scores]]&lt;=59,"C",Exam_scores[[#This Row],[Previous scores]]&lt;=80,"B",Exam_scores[[#This Row],[Previous scores]]&gt;=81,"A")</f>
        <v>B</v>
      </c>
      <c r="F199">
        <v>76</v>
      </c>
      <c r="G199" t="str" cm="1">
        <f t="array" ref="G199">_xlfn.IFS(Exam_scores[[#This Row],[Exam score]]&lt;=20, "F",Exam_scores[[#This Row],[Exam score]]&lt;=30,"E",Exam_scores[[#This Row],[Exam score]]&lt;=40,"D",Exam_scores[[#This Row],[Exam score]]&lt;=45,"C",Exam_scores[[#This Row],[Exam score]]&lt;=49,"B",Exam_scores[[#This Row],[Exam score]]&gt;=50,"A")</f>
        <v>E</v>
      </c>
      <c r="H199">
        <v>28.2</v>
      </c>
    </row>
    <row r="200" spans="1:8" x14ac:dyDescent="0.35">
      <c r="A200" t="s">
        <v>198</v>
      </c>
      <c r="B200">
        <v>12</v>
      </c>
      <c r="C200">
        <v>7.3</v>
      </c>
      <c r="D200">
        <v>50.5</v>
      </c>
      <c r="E200" t="str" cm="1">
        <f t="array" ref="E200">_xlfn.IFS(Exam_scores[[#This Row],[Previous scores]]&lt;=40,"F",Exam_scores[[#This Row],[Previous scores]]&lt;=45,"E",Exam_scores[[#This Row],[Previous scores]]&lt;=49,"D",Exam_scores[[#This Row],[Previous scores]]&lt;=59,"C",Exam_scores[[#This Row],[Previous scores]]&lt;=80,"B",Exam_scores[[#This Row],[Previous scores]]&gt;=81,"A")</f>
        <v>C</v>
      </c>
      <c r="F200">
        <v>58</v>
      </c>
      <c r="G200" t="str" cm="1">
        <f t="array" ref="G200">_xlfn.IFS(Exam_scores[[#This Row],[Exam score]]&lt;=20, "F",Exam_scores[[#This Row],[Exam score]]&lt;=30,"E",Exam_scores[[#This Row],[Exam score]]&lt;=40,"D",Exam_scores[[#This Row],[Exam score]]&lt;=45,"C",Exam_scores[[#This Row],[Exam score]]&lt;=49,"B",Exam_scores[[#This Row],[Exam score]]&gt;=50,"A")</f>
        <v>C</v>
      </c>
      <c r="H200">
        <v>42</v>
      </c>
    </row>
    <row r="201" spans="1:8" x14ac:dyDescent="0.35">
      <c r="A201" t="s">
        <v>199</v>
      </c>
      <c r="B201">
        <v>10.199999999999999</v>
      </c>
      <c r="C201">
        <v>6.3</v>
      </c>
      <c r="D201">
        <v>97.4</v>
      </c>
      <c r="E201" t="str" cm="1">
        <f t="array" ref="E201">_xlfn.IFS(Exam_scores[[#This Row],[Previous scores]]&lt;=40,"F",Exam_scores[[#This Row],[Previous scores]]&lt;=45,"E",Exam_scores[[#This Row],[Previous scores]]&lt;=49,"D",Exam_scores[[#This Row],[Previous scores]]&lt;=59,"C",Exam_scores[[#This Row],[Previous scores]]&lt;=80,"B",Exam_scores[[#This Row],[Previous scores]]&gt;=81,"A")</f>
        <v>B</v>
      </c>
      <c r="F201">
        <v>68</v>
      </c>
      <c r="G201" t="str" cm="1">
        <f t="array" ref="G201">_xlfn.IFS(Exam_scores[[#This Row],[Exam score]]&lt;=20, "F",Exam_scores[[#This Row],[Exam score]]&lt;=30,"E",Exam_scores[[#This Row],[Exam score]]&lt;=40,"D",Exam_scores[[#This Row],[Exam score]]&lt;=45,"C",Exam_scores[[#This Row],[Exam score]]&lt;=49,"B",Exam_scores[[#This Row],[Exam score]]&gt;=50,"A")</f>
        <v>D</v>
      </c>
      <c r="H201">
        <v>37.799999999999997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Best students</vt:lpstr>
      <vt:lpstr>Least students</vt:lpstr>
      <vt:lpstr>Average Study hours</vt:lpstr>
      <vt:lpstr>Attendance percent on exam grad</vt:lpstr>
      <vt:lpstr>Attendance percent on previous</vt:lpstr>
      <vt:lpstr>Average Sleep hours</vt:lpstr>
      <vt:lpstr>Student performance by exam</vt:lpstr>
      <vt:lpstr>Pre-analysis</vt:lpstr>
      <vt:lpstr> In-analysis</vt:lpstr>
      <vt:lpstr>Dashboard</vt:lpstr>
      <vt:lpstr>Observation</vt:lpstr>
      <vt:lpstr>Recommendation</vt:lpstr>
      <vt:lpstr>student_exam_scores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dc:creator>
  <cp:lastModifiedBy>Charles</cp:lastModifiedBy>
  <dcterms:created xsi:type="dcterms:W3CDTF">2025-09-14T10:53:29Z</dcterms:created>
  <dcterms:modified xsi:type="dcterms:W3CDTF">2025-10-22T00:41:52Z</dcterms:modified>
</cp:coreProperties>
</file>